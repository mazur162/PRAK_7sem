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ShurD\2023_Autumn\"/>
    </mc:Choice>
  </mc:AlternateContent>
  <xr:revisionPtr revIDLastSave="0" documentId="13_ncr:1_{56F356D0-EC62-4C55-BB45-D1EC423CE8D9}" xr6:coauthVersionLast="47" xr6:coauthVersionMax="47" xr10:uidLastSave="{00000000-0000-0000-0000-000000000000}"/>
  <bookViews>
    <workbookView xWindow="-108" yWindow="-108" windowWidth="19416" windowHeight="10416" xr2:uid="{00000000-000D-0000-FFFF-FFFF00000000}"/>
  </bookViews>
  <sheets>
    <sheet name="портфели" sheetId="1" r:id="rId1"/>
    <sheet name="list1" sheetId="10" r:id="rId2"/>
    <sheet name="Results" sheetId="2" r:id="rId3"/>
    <sheet name="Print" sheetId="3" r:id="rId4"/>
    <sheet name="Лист1" sheetId="9" r:id="rId5"/>
    <sheet name="Close" sheetId="4" r:id="rId6"/>
    <sheet name="Rates" sheetId="6" r:id="rId7"/>
    <sheet name="Markowiz" sheetId="7" r:id="rId8"/>
    <sheet name="portfolioPrice" sheetId="8" r:id="rId9"/>
  </sheets>
  <functionGroups builtInGroupCount="19"/>
  <definedNames>
    <definedName name="solver_adj" localSheetId="7" hidden="1">Markowiz!$B$3:$L$3</definedName>
    <definedName name="solver_cvg" localSheetId="7" hidden="1">0.0001</definedName>
    <definedName name="solver_drv" localSheetId="7" hidden="1">2</definedName>
    <definedName name="solver_eng" localSheetId="7" hidden="1">1</definedName>
    <definedName name="solver_est" localSheetId="7" hidden="1">1</definedName>
    <definedName name="solver_itr" localSheetId="7" hidden="1">2147483647</definedName>
    <definedName name="solver_lhs1" localSheetId="7" hidden="1">Markowiz!$B$18</definedName>
    <definedName name="solver_lhs2" localSheetId="7" hidden="1">Markowiz!$B$3:$L$3</definedName>
    <definedName name="solver_lhs3" localSheetId="7" hidden="1">Markowiz!$B$3:$L$3</definedName>
    <definedName name="solver_lhs4" localSheetId="7" hidden="1">Markowiz!$M$4</definedName>
    <definedName name="solver_mip" localSheetId="7" hidden="1">2147483647</definedName>
    <definedName name="solver_mni" localSheetId="7" hidden="1">30</definedName>
    <definedName name="solver_mrt" localSheetId="7" hidden="1">0.075</definedName>
    <definedName name="solver_msl" localSheetId="7" hidden="1">2</definedName>
    <definedName name="solver_neg" localSheetId="7" hidden="1">1</definedName>
    <definedName name="solver_nod" localSheetId="7" hidden="1">2147483647</definedName>
    <definedName name="solver_num" localSheetId="7" hidden="1">4</definedName>
    <definedName name="solver_nwt" localSheetId="7" hidden="1">1</definedName>
    <definedName name="solver_opt" localSheetId="7" hidden="1">Markowiz!$M$12</definedName>
    <definedName name="solver_pre" localSheetId="7" hidden="1">0.000001</definedName>
    <definedName name="solver_rbv" localSheetId="7" hidden="1">2</definedName>
    <definedName name="solver_rel1" localSheetId="7" hidden="1">1</definedName>
    <definedName name="solver_rel2" localSheetId="7" hidden="1">1</definedName>
    <definedName name="solver_rel3" localSheetId="7" hidden="1">3</definedName>
    <definedName name="solver_rel4" localSheetId="7" hidden="1">2</definedName>
    <definedName name="solver_rhs1" localSheetId="7" hidden="1">20000</definedName>
    <definedName name="solver_rhs2" localSheetId="7" hidden="1">Markowiz!$B$6:$L$6</definedName>
    <definedName name="solver_rhs3" localSheetId="7" hidden="1">Markowiz!$B$5:$L$5</definedName>
    <definedName name="solver_rhs4" localSheetId="7" hidden="1">1</definedName>
    <definedName name="solver_rlx" localSheetId="7" hidden="1">2</definedName>
    <definedName name="solver_rsd" localSheetId="7" hidden="1">0</definedName>
    <definedName name="solver_scl" localSheetId="7" hidden="1">2</definedName>
    <definedName name="solver_sho" localSheetId="7" hidden="1">2</definedName>
    <definedName name="solver_ssz" localSheetId="7" hidden="1">100</definedName>
    <definedName name="solver_tim" localSheetId="7" hidden="1">2147483647</definedName>
    <definedName name="solver_tol" localSheetId="7" hidden="1">0.01</definedName>
    <definedName name="solver_typ" localSheetId="7" hidden="1">1</definedName>
    <definedName name="solver_val" localSheetId="7" hidden="1">0</definedName>
    <definedName name="solver_ver" localSheetId="7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9" i="2" l="1"/>
  <c r="K19" i="2"/>
  <c r="J19" i="2"/>
  <c r="H19" i="2"/>
  <c r="A46" i="8"/>
  <c r="A47" i="8"/>
  <c r="A48" i="8"/>
  <c r="A47" i="6"/>
  <c r="A48" i="6"/>
  <c r="G19" i="2"/>
  <c r="E19" i="2"/>
  <c r="B19" i="2"/>
  <c r="D19" i="2"/>
  <c r="L1" i="4"/>
  <c r="K1" i="4"/>
  <c r="J1" i="4"/>
  <c r="I1" i="4"/>
  <c r="H1" i="4"/>
  <c r="G1" i="4"/>
  <c r="F1" i="4"/>
  <c r="E1" i="4"/>
  <c r="D1" i="4"/>
  <c r="C1" i="4"/>
  <c r="B1" i="4"/>
  <c r="A27" i="3"/>
  <c r="A22" i="3"/>
  <c r="A23" i="3"/>
  <c r="A24" i="3"/>
  <c r="A25" i="3"/>
  <c r="A26" i="3"/>
  <c r="N21" i="1" a="1"/>
  <c r="N21" i="1" s="1"/>
  <c r="N22" i="1" a="1"/>
  <c r="N22" i="1" s="1"/>
  <c r="N23" i="1" a="1"/>
  <c r="N23" i="1" s="1"/>
  <c r="N24" i="1" a="1"/>
  <c r="N24" i="1" s="1"/>
  <c r="N25" i="1" a="1"/>
  <c r="N25" i="1" s="1"/>
  <c r="N26" i="1" a="1"/>
  <c r="N26" i="1" s="1"/>
  <c r="N3" i="6" a="1"/>
  <c r="Q25" i="1" a="1"/>
  <c r="O24" i="1" a="1"/>
  <c r="Q18" i="1" a="1"/>
  <c r="Q15" i="1" a="1"/>
  <c r="Q20" i="1" a="1"/>
  <c r="Q24" i="1" a="1"/>
  <c r="O21" i="1" a="1"/>
  <c r="Q26" i="1" a="1"/>
  <c r="O25" i="1" a="1"/>
  <c r="Q11" i="1" a="1"/>
  <c r="Q21" i="1" a="1"/>
  <c r="O22" i="1" a="1"/>
  <c r="O23" i="1" a="1"/>
  <c r="O26" i="1" a="1"/>
  <c r="Q22" i="1" a="1"/>
  <c r="Q19" i="1" a="1"/>
  <c r="Q12" i="1" a="1"/>
  <c r="Q10" i="1" a="1"/>
  <c r="Q23" i="1" a="1"/>
  <c r="Q13" i="1" a="1"/>
  <c r="Q17" i="1" a="1"/>
  <c r="Q14" i="1" a="1"/>
  <c r="Q16" i="1" a="1"/>
  <c r="Q9" i="1" a="1"/>
  <c r="Q8" i="1" a="1"/>
  <c r="Q7" i="1" a="1"/>
  <c r="Q6" i="1" a="1"/>
  <c r="Q5" i="1" a="1"/>
  <c r="Q4" i="1" a="1"/>
  <c r="Q3" i="1" a="1"/>
  <c r="Q2" i="1" a="1"/>
  <c r="R3" i="1" l="1"/>
  <c r="Q3" i="1"/>
  <c r="S3" i="1"/>
  <c r="R25" i="1"/>
  <c r="S25" i="1"/>
  <c r="Q25" i="1"/>
  <c r="R23" i="1"/>
  <c r="S23" i="1"/>
  <c r="Q23" i="1"/>
  <c r="R21" i="1"/>
  <c r="S21" i="1"/>
  <c r="Q21" i="1"/>
  <c r="R19" i="1"/>
  <c r="S19" i="1"/>
  <c r="Q19" i="1"/>
  <c r="R17" i="1"/>
  <c r="S17" i="1"/>
  <c r="Q17" i="1"/>
  <c r="R15" i="1"/>
  <c r="S15" i="1"/>
  <c r="Q15" i="1"/>
  <c r="R13" i="1"/>
  <c r="S13" i="1"/>
  <c r="Q13" i="1"/>
  <c r="R11" i="1"/>
  <c r="Q11" i="1"/>
  <c r="S11" i="1"/>
  <c r="R9" i="1"/>
  <c r="Q9" i="1"/>
  <c r="S9" i="1"/>
  <c r="R7" i="1"/>
  <c r="S7" i="1"/>
  <c r="Q7" i="1"/>
  <c r="R5" i="1"/>
  <c r="Q5" i="1"/>
  <c r="S5" i="1"/>
  <c r="Q26" i="1"/>
  <c r="R26" i="1"/>
  <c r="S26" i="1"/>
  <c r="Q24" i="1"/>
  <c r="R24" i="1"/>
  <c r="S24" i="1"/>
  <c r="Q22" i="1"/>
  <c r="R22" i="1"/>
  <c r="S22" i="1"/>
  <c r="Q20" i="1"/>
  <c r="R20" i="1"/>
  <c r="S20" i="1"/>
  <c r="Q18" i="1"/>
  <c r="R18" i="1"/>
  <c r="S18" i="1"/>
  <c r="S16" i="1"/>
  <c r="Q16" i="1"/>
  <c r="R16" i="1"/>
  <c r="S14" i="1"/>
  <c r="Q14" i="1"/>
  <c r="R14" i="1"/>
  <c r="S12" i="1"/>
  <c r="Q12" i="1"/>
  <c r="R12" i="1"/>
  <c r="Q10" i="1"/>
  <c r="R10" i="1"/>
  <c r="S10" i="1"/>
  <c r="Q8" i="1"/>
  <c r="R8" i="1"/>
  <c r="S8" i="1"/>
  <c r="S6" i="1"/>
  <c r="Q6" i="1"/>
  <c r="R6" i="1"/>
  <c r="Q4" i="1"/>
  <c r="R4" i="1"/>
  <c r="S4" i="1"/>
  <c r="Q2" i="1"/>
  <c r="R2" i="1"/>
  <c r="S2" i="1"/>
  <c r="N3" i="6"/>
  <c r="O3" i="6"/>
  <c r="S3" i="6"/>
  <c r="W3" i="6"/>
  <c r="P4" i="6"/>
  <c r="T4" i="6"/>
  <c r="X4" i="6"/>
  <c r="Q5" i="6"/>
  <c r="U5" i="6"/>
  <c r="N6" i="6"/>
  <c r="R6" i="6"/>
  <c r="V6" i="6"/>
  <c r="O7" i="6"/>
  <c r="S7" i="6"/>
  <c r="W7" i="6"/>
  <c r="P8" i="6"/>
  <c r="T8" i="6"/>
  <c r="X8" i="6"/>
  <c r="Q9" i="6"/>
  <c r="U9" i="6"/>
  <c r="N10" i="6"/>
  <c r="R10" i="6"/>
  <c r="V10" i="6"/>
  <c r="O11" i="6"/>
  <c r="S11" i="6"/>
  <c r="W11" i="6"/>
  <c r="P12" i="6"/>
  <c r="T12" i="6"/>
  <c r="X12" i="6"/>
  <c r="Q13" i="6"/>
  <c r="U13" i="6"/>
  <c r="T3" i="6"/>
  <c r="X3" i="6"/>
  <c r="Q4" i="6"/>
  <c r="U4" i="6"/>
  <c r="N5" i="6"/>
  <c r="R5" i="6"/>
  <c r="V5" i="6"/>
  <c r="O6" i="6"/>
  <c r="S6" i="6"/>
  <c r="W6" i="6"/>
  <c r="P7" i="6"/>
  <c r="T7" i="6"/>
  <c r="X7" i="6"/>
  <c r="Q8" i="6"/>
  <c r="U8" i="6"/>
  <c r="N9" i="6"/>
  <c r="R9" i="6"/>
  <c r="V9" i="6"/>
  <c r="O10" i="6"/>
  <c r="S10" i="6"/>
  <c r="W10" i="6"/>
  <c r="P11" i="6"/>
  <c r="T11" i="6"/>
  <c r="X11" i="6"/>
  <c r="Q12" i="6"/>
  <c r="U12" i="6"/>
  <c r="N13" i="6"/>
  <c r="R13" i="6"/>
  <c r="V13" i="6"/>
  <c r="Q3" i="6"/>
  <c r="U3" i="6"/>
  <c r="N4" i="6"/>
  <c r="R4" i="6"/>
  <c r="V4" i="6"/>
  <c r="O5" i="6"/>
  <c r="S5" i="6"/>
  <c r="W5" i="6"/>
  <c r="P6" i="6"/>
  <c r="T6" i="6"/>
  <c r="X6" i="6"/>
  <c r="Q7" i="6"/>
  <c r="U7" i="6"/>
  <c r="N8" i="6"/>
  <c r="R8" i="6"/>
  <c r="V8" i="6"/>
  <c r="O9" i="6"/>
  <c r="S9" i="6"/>
  <c r="W9" i="6"/>
  <c r="P10" i="6"/>
  <c r="T10" i="6"/>
  <c r="X10" i="6"/>
  <c r="Q11" i="6"/>
  <c r="U11" i="6"/>
  <c r="N12" i="6"/>
  <c r="R12" i="6"/>
  <c r="P3" i="6"/>
  <c r="R3" i="6"/>
  <c r="W4" i="6"/>
  <c r="Q6" i="6"/>
  <c r="V7" i="6"/>
  <c r="P9" i="6"/>
  <c r="U10" i="6"/>
  <c r="O12" i="6"/>
  <c r="O13" i="6"/>
  <c r="W13" i="6"/>
  <c r="V3" i="6"/>
  <c r="P5" i="6"/>
  <c r="U6" i="6"/>
  <c r="O8" i="6"/>
  <c r="T9" i="6"/>
  <c r="N11" i="6"/>
  <c r="S12" i="6"/>
  <c r="P13" i="6"/>
  <c r="X13" i="6"/>
  <c r="O4" i="6"/>
  <c r="T5" i="6"/>
  <c r="N7" i="6"/>
  <c r="S8" i="6"/>
  <c r="X9" i="6"/>
  <c r="R11" i="6"/>
  <c r="V12" i="6"/>
  <c r="S13" i="6"/>
  <c r="T13" i="6"/>
  <c r="S4" i="6"/>
  <c r="X5" i="6"/>
  <c r="R7" i="6"/>
  <c r="W8" i="6"/>
  <c r="Q10" i="6"/>
  <c r="V11" i="6"/>
  <c r="W12" i="6"/>
  <c r="O26" i="1"/>
  <c r="O25" i="1"/>
  <c r="O23" i="1"/>
  <c r="O22" i="1"/>
  <c r="O24" i="1"/>
  <c r="O21" i="1"/>
  <c r="B22" i="6" l="1"/>
  <c r="C22" i="6"/>
  <c r="D22" i="6"/>
  <c r="E22" i="6"/>
  <c r="F22" i="6"/>
  <c r="G22" i="6"/>
  <c r="H22" i="6"/>
  <c r="I22" i="6"/>
  <c r="J22" i="6"/>
  <c r="K22" i="6"/>
  <c r="L22" i="6"/>
  <c r="B23" i="6"/>
  <c r="C23" i="6"/>
  <c r="D23" i="6"/>
  <c r="E23" i="6"/>
  <c r="F23" i="6"/>
  <c r="G23" i="6"/>
  <c r="H23" i="6"/>
  <c r="I23" i="6"/>
  <c r="J23" i="6"/>
  <c r="K23" i="6"/>
  <c r="L23" i="6"/>
  <c r="B24" i="6"/>
  <c r="C24" i="6"/>
  <c r="D24" i="6"/>
  <c r="E24" i="6"/>
  <c r="F24" i="6"/>
  <c r="G24" i="6"/>
  <c r="H24" i="6"/>
  <c r="I24" i="6"/>
  <c r="J24" i="6"/>
  <c r="K24" i="6"/>
  <c r="L24" i="6"/>
  <c r="B25" i="6"/>
  <c r="C25" i="6"/>
  <c r="D25" i="6"/>
  <c r="E25" i="6"/>
  <c r="F25" i="6"/>
  <c r="G25" i="6"/>
  <c r="H25" i="6"/>
  <c r="I25" i="6"/>
  <c r="J25" i="6"/>
  <c r="K25" i="6"/>
  <c r="L25" i="6"/>
  <c r="B26" i="6"/>
  <c r="C26" i="6"/>
  <c r="D26" i="6"/>
  <c r="E26" i="6"/>
  <c r="F26" i="6"/>
  <c r="G26" i="6"/>
  <c r="H26" i="6"/>
  <c r="I26" i="6"/>
  <c r="J26" i="6"/>
  <c r="K26" i="6"/>
  <c r="L26" i="6"/>
  <c r="B27" i="6"/>
  <c r="C27" i="6"/>
  <c r="D27" i="6"/>
  <c r="E27" i="6"/>
  <c r="F27" i="6"/>
  <c r="G27" i="6"/>
  <c r="H27" i="6"/>
  <c r="I27" i="6"/>
  <c r="J27" i="6"/>
  <c r="K27" i="6"/>
  <c r="L27" i="6"/>
  <c r="B28" i="6"/>
  <c r="C28" i="6"/>
  <c r="D28" i="6"/>
  <c r="E28" i="6"/>
  <c r="F28" i="6"/>
  <c r="G28" i="6"/>
  <c r="H28" i="6"/>
  <c r="I28" i="6"/>
  <c r="J28" i="6"/>
  <c r="K28" i="6"/>
  <c r="L28" i="6"/>
  <c r="B29" i="6"/>
  <c r="C29" i="6"/>
  <c r="D29" i="6"/>
  <c r="E29" i="6"/>
  <c r="F29" i="6"/>
  <c r="G29" i="6"/>
  <c r="H29" i="6"/>
  <c r="I29" i="6"/>
  <c r="J29" i="6"/>
  <c r="K29" i="6"/>
  <c r="L29" i="6"/>
  <c r="B30" i="6"/>
  <c r="C30" i="6"/>
  <c r="D30" i="6"/>
  <c r="E30" i="6"/>
  <c r="F30" i="6"/>
  <c r="G30" i="6"/>
  <c r="H30" i="6"/>
  <c r="I30" i="6"/>
  <c r="J30" i="6"/>
  <c r="K30" i="6"/>
  <c r="L30" i="6"/>
  <c r="B31" i="6"/>
  <c r="C31" i="6"/>
  <c r="D31" i="6"/>
  <c r="E31" i="6"/>
  <c r="F31" i="6"/>
  <c r="G31" i="6"/>
  <c r="H31" i="6"/>
  <c r="I31" i="6"/>
  <c r="J31" i="6"/>
  <c r="K31" i="6"/>
  <c r="L31" i="6"/>
  <c r="B32" i="6"/>
  <c r="C32" i="6"/>
  <c r="D32" i="6"/>
  <c r="E32" i="6"/>
  <c r="F32" i="6"/>
  <c r="G32" i="6"/>
  <c r="H32" i="6"/>
  <c r="I32" i="6"/>
  <c r="J32" i="6"/>
  <c r="K32" i="6"/>
  <c r="L32" i="6"/>
  <c r="B33" i="6"/>
  <c r="C33" i="6"/>
  <c r="D33" i="6"/>
  <c r="E33" i="6"/>
  <c r="F33" i="6"/>
  <c r="G33" i="6"/>
  <c r="H33" i="6"/>
  <c r="I33" i="6"/>
  <c r="J33" i="6"/>
  <c r="K33" i="6"/>
  <c r="L33" i="6"/>
  <c r="B34" i="6"/>
  <c r="C34" i="6"/>
  <c r="D34" i="6"/>
  <c r="E34" i="6"/>
  <c r="F34" i="6"/>
  <c r="G34" i="6"/>
  <c r="H34" i="6"/>
  <c r="I34" i="6"/>
  <c r="J34" i="6"/>
  <c r="K34" i="6"/>
  <c r="L34" i="6"/>
  <c r="B35" i="6"/>
  <c r="C35" i="6"/>
  <c r="D35" i="6"/>
  <c r="E35" i="6"/>
  <c r="F35" i="6"/>
  <c r="G35" i="6"/>
  <c r="H35" i="6"/>
  <c r="I35" i="6"/>
  <c r="J35" i="6"/>
  <c r="K35" i="6"/>
  <c r="L35" i="6"/>
  <c r="B36" i="6"/>
  <c r="C36" i="6"/>
  <c r="D36" i="6"/>
  <c r="E36" i="6"/>
  <c r="F36" i="6"/>
  <c r="G36" i="6"/>
  <c r="H36" i="6"/>
  <c r="I36" i="6"/>
  <c r="J36" i="6"/>
  <c r="K36" i="6"/>
  <c r="L36" i="6"/>
  <c r="B37" i="6"/>
  <c r="C37" i="6"/>
  <c r="D37" i="6"/>
  <c r="E37" i="6"/>
  <c r="F37" i="6"/>
  <c r="G37" i="6"/>
  <c r="H37" i="6"/>
  <c r="I37" i="6"/>
  <c r="J37" i="6"/>
  <c r="K37" i="6"/>
  <c r="L37" i="6"/>
  <c r="B38" i="6"/>
  <c r="C38" i="6"/>
  <c r="D38" i="6"/>
  <c r="E38" i="6"/>
  <c r="F38" i="6"/>
  <c r="G38" i="6"/>
  <c r="H38" i="6"/>
  <c r="I38" i="6"/>
  <c r="J38" i="6"/>
  <c r="K38" i="6"/>
  <c r="L38" i="6"/>
  <c r="B39" i="6"/>
  <c r="C39" i="6"/>
  <c r="D39" i="6"/>
  <c r="E39" i="6"/>
  <c r="F39" i="6"/>
  <c r="G39" i="6"/>
  <c r="H39" i="6"/>
  <c r="I39" i="6"/>
  <c r="J39" i="6"/>
  <c r="K39" i="6"/>
  <c r="L39" i="6"/>
  <c r="B40" i="6"/>
  <c r="C40" i="6"/>
  <c r="D40" i="6"/>
  <c r="E40" i="6"/>
  <c r="F40" i="6"/>
  <c r="G40" i="6"/>
  <c r="H40" i="6"/>
  <c r="I40" i="6"/>
  <c r="J40" i="6"/>
  <c r="K40" i="6"/>
  <c r="L40" i="6"/>
  <c r="B41" i="6"/>
  <c r="C41" i="6"/>
  <c r="D41" i="6"/>
  <c r="E41" i="6"/>
  <c r="F41" i="6"/>
  <c r="G41" i="6"/>
  <c r="H41" i="6"/>
  <c r="I41" i="6"/>
  <c r="J41" i="6"/>
  <c r="K41" i="6"/>
  <c r="L41" i="6"/>
  <c r="B42" i="6"/>
  <c r="C42" i="6"/>
  <c r="D42" i="6"/>
  <c r="E42" i="6"/>
  <c r="F42" i="6"/>
  <c r="G42" i="6"/>
  <c r="H42" i="6"/>
  <c r="I42" i="6"/>
  <c r="J42" i="6"/>
  <c r="K42" i="6"/>
  <c r="L42" i="6"/>
  <c r="B43" i="6"/>
  <c r="C43" i="6"/>
  <c r="D43" i="6"/>
  <c r="E43" i="6"/>
  <c r="F43" i="6"/>
  <c r="G43" i="6"/>
  <c r="H43" i="6"/>
  <c r="I43" i="6"/>
  <c r="J43" i="6"/>
  <c r="K43" i="6"/>
  <c r="L43" i="6"/>
  <c r="B44" i="6"/>
  <c r="C44" i="6"/>
  <c r="D44" i="6"/>
  <c r="E44" i="6"/>
  <c r="F44" i="6"/>
  <c r="G44" i="6"/>
  <c r="H44" i="6"/>
  <c r="I44" i="6"/>
  <c r="J44" i="6"/>
  <c r="K44" i="6"/>
  <c r="L44" i="6"/>
  <c r="B45" i="6"/>
  <c r="C45" i="6"/>
  <c r="D45" i="6"/>
  <c r="E45" i="6"/>
  <c r="F45" i="6"/>
  <c r="G45" i="6"/>
  <c r="H45" i="6"/>
  <c r="I45" i="6"/>
  <c r="J45" i="6"/>
  <c r="K45" i="6"/>
  <c r="L45" i="6"/>
  <c r="B46" i="6"/>
  <c r="C46" i="6"/>
  <c r="D46" i="6"/>
  <c r="E46" i="6"/>
  <c r="F46" i="6"/>
  <c r="G46" i="6"/>
  <c r="H46" i="6"/>
  <c r="I46" i="6"/>
  <c r="J46" i="6"/>
  <c r="K46" i="6"/>
  <c r="L46" i="6"/>
  <c r="B47" i="6"/>
  <c r="C47" i="6"/>
  <c r="D47" i="6"/>
  <c r="E47" i="6"/>
  <c r="F47" i="6"/>
  <c r="G47" i="6"/>
  <c r="H47" i="6"/>
  <c r="I47" i="6"/>
  <c r="J47" i="6"/>
  <c r="K47" i="6"/>
  <c r="L47" i="6"/>
  <c r="B48" i="6"/>
  <c r="C48" i="6"/>
  <c r="D48" i="6"/>
  <c r="E48" i="6"/>
  <c r="F48" i="6"/>
  <c r="G48" i="6"/>
  <c r="H48" i="6"/>
  <c r="I48" i="6"/>
  <c r="J48" i="6"/>
  <c r="K48" i="6"/>
  <c r="L48" i="6"/>
  <c r="B4" i="6"/>
  <c r="C4" i="6"/>
  <c r="D4" i="6"/>
  <c r="E4" i="6"/>
  <c r="F4" i="6"/>
  <c r="G4" i="6"/>
  <c r="H4" i="6"/>
  <c r="I4" i="6"/>
  <c r="J4" i="6"/>
  <c r="K4" i="6"/>
  <c r="L4" i="6"/>
  <c r="B5" i="6"/>
  <c r="C5" i="6"/>
  <c r="D5" i="6"/>
  <c r="E5" i="6"/>
  <c r="F5" i="6"/>
  <c r="G5" i="6"/>
  <c r="H5" i="6"/>
  <c r="I5" i="6"/>
  <c r="J5" i="6"/>
  <c r="K5" i="6"/>
  <c r="L5" i="6"/>
  <c r="B6" i="6"/>
  <c r="C6" i="6"/>
  <c r="D6" i="6"/>
  <c r="E6" i="6"/>
  <c r="F6" i="6"/>
  <c r="G6" i="6"/>
  <c r="H6" i="6"/>
  <c r="I6" i="6"/>
  <c r="J6" i="6"/>
  <c r="K6" i="6"/>
  <c r="L6" i="6"/>
  <c r="B7" i="6"/>
  <c r="C7" i="6"/>
  <c r="D7" i="6"/>
  <c r="E7" i="6"/>
  <c r="F7" i="6"/>
  <c r="G7" i="6"/>
  <c r="H7" i="6"/>
  <c r="I7" i="6"/>
  <c r="J7" i="6"/>
  <c r="K7" i="6"/>
  <c r="L7" i="6"/>
  <c r="B8" i="6"/>
  <c r="C8" i="6"/>
  <c r="D8" i="6"/>
  <c r="E8" i="6"/>
  <c r="F8" i="6"/>
  <c r="G8" i="6"/>
  <c r="H8" i="6"/>
  <c r="I8" i="6"/>
  <c r="J8" i="6"/>
  <c r="K8" i="6"/>
  <c r="L8" i="6"/>
  <c r="B9" i="6"/>
  <c r="C9" i="6"/>
  <c r="D9" i="6"/>
  <c r="E9" i="6"/>
  <c r="F9" i="6"/>
  <c r="G9" i="6"/>
  <c r="H9" i="6"/>
  <c r="I9" i="6"/>
  <c r="J9" i="6"/>
  <c r="K9" i="6"/>
  <c r="L9" i="6"/>
  <c r="B10" i="6"/>
  <c r="C10" i="6"/>
  <c r="D10" i="6"/>
  <c r="E10" i="6"/>
  <c r="F10" i="6"/>
  <c r="G10" i="6"/>
  <c r="H10" i="6"/>
  <c r="I10" i="6"/>
  <c r="J10" i="6"/>
  <c r="K10" i="6"/>
  <c r="L10" i="6"/>
  <c r="B11" i="6"/>
  <c r="C11" i="6"/>
  <c r="D11" i="6"/>
  <c r="E11" i="6"/>
  <c r="F11" i="6"/>
  <c r="G11" i="6"/>
  <c r="H11" i="6"/>
  <c r="I11" i="6"/>
  <c r="J11" i="6"/>
  <c r="K11" i="6"/>
  <c r="L11" i="6"/>
  <c r="B12" i="6"/>
  <c r="C12" i="6"/>
  <c r="D12" i="6"/>
  <c r="E12" i="6"/>
  <c r="F12" i="6"/>
  <c r="G12" i="6"/>
  <c r="H12" i="6"/>
  <c r="I12" i="6"/>
  <c r="J12" i="6"/>
  <c r="K12" i="6"/>
  <c r="L12" i="6"/>
  <c r="B13" i="6"/>
  <c r="C13" i="6"/>
  <c r="D13" i="6"/>
  <c r="E13" i="6"/>
  <c r="F13" i="6"/>
  <c r="G13" i="6"/>
  <c r="H13" i="6"/>
  <c r="I13" i="6"/>
  <c r="J13" i="6"/>
  <c r="K13" i="6"/>
  <c r="L13" i="6"/>
  <c r="B14" i="6"/>
  <c r="C14" i="6"/>
  <c r="D14" i="6"/>
  <c r="E14" i="6"/>
  <c r="F14" i="6"/>
  <c r="G14" i="6"/>
  <c r="H14" i="6"/>
  <c r="I14" i="6"/>
  <c r="J14" i="6"/>
  <c r="K14" i="6"/>
  <c r="L14" i="6"/>
  <c r="B15" i="6"/>
  <c r="C15" i="6"/>
  <c r="D15" i="6"/>
  <c r="E15" i="6"/>
  <c r="F15" i="6"/>
  <c r="G15" i="6"/>
  <c r="H15" i="6"/>
  <c r="I15" i="6"/>
  <c r="J15" i="6"/>
  <c r="K15" i="6"/>
  <c r="L15" i="6"/>
  <c r="B16" i="6"/>
  <c r="C16" i="6"/>
  <c r="D16" i="6"/>
  <c r="E16" i="6"/>
  <c r="F16" i="6"/>
  <c r="G16" i="6"/>
  <c r="H16" i="6"/>
  <c r="I16" i="6"/>
  <c r="J16" i="6"/>
  <c r="K16" i="6"/>
  <c r="L16" i="6"/>
  <c r="B17" i="6"/>
  <c r="C17" i="6"/>
  <c r="D17" i="6"/>
  <c r="E17" i="6"/>
  <c r="F17" i="6"/>
  <c r="G17" i="6"/>
  <c r="H17" i="6"/>
  <c r="I17" i="6"/>
  <c r="J17" i="6"/>
  <c r="K17" i="6"/>
  <c r="L17" i="6"/>
  <c r="B18" i="6"/>
  <c r="C18" i="6"/>
  <c r="D18" i="6"/>
  <c r="E18" i="6"/>
  <c r="F18" i="6"/>
  <c r="G18" i="6"/>
  <c r="H18" i="6"/>
  <c r="I18" i="6"/>
  <c r="J18" i="6"/>
  <c r="K18" i="6"/>
  <c r="L18" i="6"/>
  <c r="B19" i="6"/>
  <c r="C19" i="6"/>
  <c r="D19" i="6"/>
  <c r="E19" i="6"/>
  <c r="F19" i="6"/>
  <c r="G19" i="6"/>
  <c r="H19" i="6"/>
  <c r="I19" i="6"/>
  <c r="J19" i="6"/>
  <c r="K19" i="6"/>
  <c r="L19" i="6"/>
  <c r="B20" i="6"/>
  <c r="C20" i="6"/>
  <c r="D20" i="6"/>
  <c r="E20" i="6"/>
  <c r="F20" i="6"/>
  <c r="G20" i="6"/>
  <c r="H20" i="6"/>
  <c r="I20" i="6"/>
  <c r="J20" i="6"/>
  <c r="K20" i="6"/>
  <c r="L20" i="6"/>
  <c r="B21" i="6"/>
  <c r="C21" i="6"/>
  <c r="D21" i="6"/>
  <c r="E21" i="6"/>
  <c r="F21" i="6"/>
  <c r="G21" i="6"/>
  <c r="H21" i="6"/>
  <c r="I21" i="6"/>
  <c r="J21" i="6"/>
  <c r="K21" i="6"/>
  <c r="L21" i="6"/>
  <c r="F19" i="2"/>
  <c r="L3" i="2" l="1"/>
  <c r="C3" i="6"/>
  <c r="D3" i="6"/>
  <c r="E3" i="6"/>
  <c r="F3" i="6"/>
  <c r="G3" i="6"/>
  <c r="H3" i="6"/>
  <c r="I3" i="6"/>
  <c r="J3" i="6"/>
  <c r="K3" i="6"/>
  <c r="L3" i="6"/>
  <c r="F30" i="3" a="1"/>
  <c r="B30" i="3" a="1"/>
  <c r="F30" i="3" l="1"/>
  <c r="F38" i="3"/>
  <c r="F46" i="3"/>
  <c r="F54" i="3"/>
  <c r="G38" i="3"/>
  <c r="G46" i="3"/>
  <c r="G54" i="3"/>
  <c r="F35" i="3"/>
  <c r="F43" i="3"/>
  <c r="F51" i="3"/>
  <c r="G35" i="3"/>
  <c r="G43" i="3"/>
  <c r="G51" i="3"/>
  <c r="F44" i="3"/>
  <c r="G52" i="3"/>
  <c r="F49" i="3"/>
  <c r="G49" i="3"/>
  <c r="F32" i="3"/>
  <c r="F40" i="3"/>
  <c r="F48" i="3"/>
  <c r="G32" i="3"/>
  <c r="G40" i="3"/>
  <c r="G48" i="3"/>
  <c r="G30" i="3"/>
  <c r="F37" i="3"/>
  <c r="F45" i="3"/>
  <c r="F53" i="3"/>
  <c r="G37" i="3"/>
  <c r="G45" i="3"/>
  <c r="G53" i="3"/>
  <c r="F36" i="3"/>
  <c r="G44" i="3"/>
  <c r="F41" i="3"/>
  <c r="G41" i="3"/>
  <c r="F34" i="3"/>
  <c r="F42" i="3"/>
  <c r="F50" i="3"/>
  <c r="G34" i="3"/>
  <c r="G42" i="3"/>
  <c r="G50" i="3"/>
  <c r="F31" i="3"/>
  <c r="F39" i="3"/>
  <c r="F47" i="3"/>
  <c r="G31" i="3"/>
  <c r="G39" i="3"/>
  <c r="G47" i="3"/>
  <c r="F52" i="3"/>
  <c r="G36" i="3"/>
  <c r="F33" i="3"/>
  <c r="G33" i="3"/>
  <c r="B32" i="3"/>
  <c r="B40" i="3"/>
  <c r="B48" i="3"/>
  <c r="C30" i="3"/>
  <c r="C38" i="3"/>
  <c r="C46" i="3"/>
  <c r="C54" i="3"/>
  <c r="B39" i="3"/>
  <c r="B47" i="3"/>
  <c r="C33" i="3"/>
  <c r="C39" i="3"/>
  <c r="C47" i="3"/>
  <c r="B46" i="3"/>
  <c r="C44" i="3"/>
  <c r="B45" i="3"/>
  <c r="C37" i="3"/>
  <c r="B34" i="3"/>
  <c r="B42" i="3"/>
  <c r="B50" i="3"/>
  <c r="C32" i="3"/>
  <c r="C40" i="3"/>
  <c r="C48" i="3"/>
  <c r="B33" i="3"/>
  <c r="B41" i="3"/>
  <c r="B49" i="3"/>
  <c r="B31" i="3"/>
  <c r="C41" i="3"/>
  <c r="C49" i="3"/>
  <c r="B38" i="3"/>
  <c r="C36" i="3"/>
  <c r="B37" i="3"/>
  <c r="C45" i="3"/>
  <c r="C31" i="3"/>
  <c r="B36" i="3"/>
  <c r="B44" i="3"/>
  <c r="B52" i="3"/>
  <c r="C34" i="3"/>
  <c r="C42" i="3"/>
  <c r="C50" i="3"/>
  <c r="B35" i="3"/>
  <c r="B43" i="3"/>
  <c r="B51" i="3"/>
  <c r="C35" i="3"/>
  <c r="C43" i="3"/>
  <c r="C51" i="3"/>
  <c r="B30" i="3"/>
  <c r="B54" i="3"/>
  <c r="C52" i="3"/>
  <c r="B53" i="3"/>
  <c r="C53" i="3"/>
  <c r="B2" i="3"/>
  <c r="O15" i="2"/>
  <c r="N7" i="1" a="1"/>
  <c r="N7" i="1" s="1"/>
  <c r="N8" i="1" a="1"/>
  <c r="N8" i="1" s="1"/>
  <c r="N9" i="1" a="1"/>
  <c r="N9" i="1" s="1"/>
  <c r="N10" i="1" a="1"/>
  <c r="N10" i="1" s="1"/>
  <c r="N11" i="1" a="1"/>
  <c r="N11" i="1" s="1"/>
  <c r="N12" i="1" a="1"/>
  <c r="N12" i="1" s="1"/>
  <c r="N13" i="1" a="1"/>
  <c r="N13" i="1" s="1"/>
  <c r="N14" i="1" a="1"/>
  <c r="N14" i="1" s="1"/>
  <c r="N15" i="1" a="1"/>
  <c r="N15" i="1" s="1"/>
  <c r="N16" i="1" a="1"/>
  <c r="N16" i="1" s="1"/>
  <c r="N17" i="1" a="1"/>
  <c r="N17" i="1" s="1"/>
  <c r="N18" i="1" a="1"/>
  <c r="N18" i="1" s="1"/>
  <c r="N19" i="1" a="1"/>
  <c r="N19" i="1" s="1"/>
  <c r="N20" i="1" a="1"/>
  <c r="N20" i="1" s="1"/>
  <c r="N4" i="1" a="1"/>
  <c r="N4" i="1" s="1"/>
  <c r="N5" i="1" a="1"/>
  <c r="N5" i="1" s="1"/>
  <c r="N6" i="1" a="1"/>
  <c r="N6" i="1" s="1"/>
  <c r="I19" i="2"/>
  <c r="C19" i="2"/>
  <c r="O18" i="1" a="1"/>
  <c r="O13" i="1" a="1"/>
  <c r="O12" i="1" a="1"/>
  <c r="O17" i="1" a="1"/>
  <c r="O16" i="1" a="1"/>
  <c r="O15" i="1" a="1"/>
  <c r="O14" i="1" a="1"/>
  <c r="O11" i="1" a="1"/>
  <c r="O10" i="1" a="1"/>
  <c r="O19" i="1" a="1"/>
  <c r="O20" i="1" a="1"/>
  <c r="O9" i="1" a="1"/>
  <c r="O8" i="1" a="1"/>
  <c r="O7" i="1" a="1"/>
  <c r="P22" i="1" a="1"/>
  <c r="P18" i="1" a="1"/>
  <c r="P16" i="1" a="1"/>
  <c r="P10" i="1" a="1"/>
  <c r="P25" i="1" a="1"/>
  <c r="P19" i="1" a="1"/>
  <c r="P20" i="1" a="1"/>
  <c r="P23" i="1" a="1"/>
  <c r="P17" i="1" a="1"/>
  <c r="P4" i="1" a="1"/>
  <c r="P3" i="1" a="1"/>
  <c r="P5" i="1" a="1"/>
  <c r="P11" i="1" a="1"/>
  <c r="P7" i="1" a="1"/>
  <c r="P24" i="1" a="1"/>
  <c r="P14" i="1" a="1"/>
  <c r="P8" i="1" a="1"/>
  <c r="P21" i="1" a="1"/>
  <c r="P26" i="1" a="1"/>
  <c r="P15" i="1" a="1"/>
  <c r="P12" i="1" a="1"/>
  <c r="P6" i="1" a="1"/>
  <c r="P13" i="1" a="1"/>
  <c r="P9" i="1" a="1"/>
  <c r="P9" i="1" l="1"/>
  <c r="P13" i="1"/>
  <c r="P6" i="1"/>
  <c r="P12" i="1"/>
  <c r="P15" i="1"/>
  <c r="P26" i="1"/>
  <c r="P21" i="1"/>
  <c r="P8" i="1"/>
  <c r="P14" i="1"/>
  <c r="P24" i="1"/>
  <c r="P7" i="1"/>
  <c r="P11" i="1"/>
  <c r="P5" i="1"/>
  <c r="P3" i="1"/>
  <c r="P4" i="1"/>
  <c r="P17" i="1"/>
  <c r="P23" i="1"/>
  <c r="P20" i="1"/>
  <c r="P19" i="1"/>
  <c r="P25" i="1"/>
  <c r="P10" i="1"/>
  <c r="P16" i="1"/>
  <c r="P18" i="1"/>
  <c r="P22" i="1"/>
  <c r="O20" i="1"/>
  <c r="O19" i="1"/>
  <c r="O16" i="1"/>
  <c r="O12" i="1"/>
  <c r="O8" i="1"/>
  <c r="O17" i="1"/>
  <c r="O14" i="1"/>
  <c r="O10" i="1"/>
  <c r="O18" i="1"/>
  <c r="O15" i="1"/>
  <c r="O13" i="1"/>
  <c r="O11" i="1"/>
  <c r="O9" i="1"/>
  <c r="O7" i="1"/>
  <c r="O4" i="1"/>
  <c r="A46" i="6" l="1"/>
  <c r="N3" i="1" l="1" a="1"/>
  <c r="N3" i="1" s="1"/>
  <c r="N2" i="1" a="1"/>
  <c r="N2" i="1" s="1"/>
  <c r="B4" i="7" l="1"/>
  <c r="C22" i="2" l="1"/>
  <c r="K22" i="2" l="1"/>
  <c r="J22" i="2"/>
  <c r="I22" i="2"/>
  <c r="H22" i="2"/>
  <c r="F22" i="2"/>
  <c r="E22" i="2"/>
  <c r="D22" i="2"/>
  <c r="P2" i="1" a="1"/>
  <c r="B22" i="2" l="1"/>
  <c r="G22" i="2"/>
  <c r="L22" i="2"/>
  <c r="P2" i="1"/>
  <c r="D1" i="1"/>
  <c r="E1" i="1"/>
  <c r="F1" i="1"/>
  <c r="G1" i="1"/>
  <c r="H1" i="1"/>
  <c r="I1" i="1"/>
  <c r="J1" i="1"/>
  <c r="K1" i="1"/>
  <c r="L1" i="1"/>
  <c r="M1" i="1"/>
  <c r="C1" i="1"/>
  <c r="O16" i="2" a="1"/>
  <c r="O16" i="2" l="1"/>
  <c r="P22" i="2"/>
  <c r="C9" i="3" s="1"/>
  <c r="P30" i="2"/>
  <c r="C17" i="3" s="1"/>
  <c r="P38" i="2"/>
  <c r="C25" i="3" s="1"/>
  <c r="O23" i="2"/>
  <c r="O31" i="2"/>
  <c r="O39" i="2"/>
  <c r="B26" i="3" s="1"/>
  <c r="P23" i="2"/>
  <c r="C10" i="3" s="1"/>
  <c r="P31" i="2"/>
  <c r="C18" i="3" s="1"/>
  <c r="P39" i="2"/>
  <c r="C26" i="3" s="1"/>
  <c r="O24" i="2"/>
  <c r="O32" i="2"/>
  <c r="O40" i="2"/>
  <c r="B27" i="3" s="1"/>
  <c r="P16" i="2"/>
  <c r="P24" i="2"/>
  <c r="C11" i="3" s="1"/>
  <c r="P32" i="2"/>
  <c r="C19" i="3" s="1"/>
  <c r="P40" i="2"/>
  <c r="C27" i="3" s="1"/>
  <c r="O25" i="2"/>
  <c r="O33" i="2"/>
  <c r="P17" i="2"/>
  <c r="C4" i="3" s="1"/>
  <c r="P25" i="2"/>
  <c r="C12" i="3" s="1"/>
  <c r="P33" i="2"/>
  <c r="C20" i="3" s="1"/>
  <c r="O18" i="2"/>
  <c r="O26" i="2"/>
  <c r="O34" i="2"/>
  <c r="O17" i="2"/>
  <c r="P18" i="2"/>
  <c r="C5" i="3" s="1"/>
  <c r="P26" i="2"/>
  <c r="C13" i="3" s="1"/>
  <c r="P34" i="2"/>
  <c r="C21" i="3" s="1"/>
  <c r="O19" i="2"/>
  <c r="O27" i="2"/>
  <c r="O35" i="2"/>
  <c r="B22" i="3" s="1"/>
  <c r="P19" i="2"/>
  <c r="C6" i="3" s="1"/>
  <c r="P27" i="2"/>
  <c r="C14" i="3" s="1"/>
  <c r="P35" i="2"/>
  <c r="C22" i="3" s="1"/>
  <c r="O20" i="2"/>
  <c r="O28" i="2"/>
  <c r="O36" i="2"/>
  <c r="B23" i="3" s="1"/>
  <c r="P20" i="2"/>
  <c r="C7" i="3" s="1"/>
  <c r="P28" i="2"/>
  <c r="C15" i="3" s="1"/>
  <c r="P36" i="2"/>
  <c r="C23" i="3" s="1"/>
  <c r="O21" i="2"/>
  <c r="O29" i="2"/>
  <c r="O37" i="2"/>
  <c r="B24" i="3" s="1"/>
  <c r="P21" i="2"/>
  <c r="C8" i="3" s="1"/>
  <c r="P29" i="2"/>
  <c r="C16" i="3" s="1"/>
  <c r="P37" i="2"/>
  <c r="C24" i="3" s="1"/>
  <c r="O22" i="2"/>
  <c r="O30" i="2"/>
  <c r="O38" i="2"/>
  <c r="B25" i="3" s="1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L7" i="7"/>
  <c r="L8" i="7" s="1"/>
  <c r="K7" i="7"/>
  <c r="K8" i="7" s="1"/>
  <c r="J7" i="7"/>
  <c r="J8" i="7" s="1"/>
  <c r="I7" i="7"/>
  <c r="I8" i="7" s="1"/>
  <c r="H7" i="7"/>
  <c r="H8" i="7" s="1"/>
  <c r="G7" i="7"/>
  <c r="G8" i="7" s="1"/>
  <c r="F7" i="7"/>
  <c r="F8" i="7" s="1"/>
  <c r="E7" i="7"/>
  <c r="E8" i="7" s="1"/>
  <c r="D7" i="7"/>
  <c r="D8" i="7" s="1"/>
  <c r="C7" i="7"/>
  <c r="C8" i="7" s="1"/>
  <c r="B7" i="7"/>
  <c r="B8" i="7" s="1"/>
  <c r="L4" i="7"/>
  <c r="K4" i="7"/>
  <c r="J4" i="7"/>
  <c r="I4" i="7"/>
  <c r="H4" i="7"/>
  <c r="G4" i="7"/>
  <c r="F4" i="7"/>
  <c r="E4" i="7"/>
  <c r="D4" i="7"/>
  <c r="C4" i="7"/>
  <c r="A2" i="7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K14" i="7"/>
  <c r="I14" i="7"/>
  <c r="G14" i="7"/>
  <c r="E14" i="7"/>
  <c r="C14" i="7"/>
  <c r="B3" i="6"/>
  <c r="A3" i="6"/>
  <c r="A2" i="6"/>
  <c r="F1" i="6"/>
  <c r="R2" i="6" s="1"/>
  <c r="A1" i="6"/>
  <c r="I1" i="8"/>
  <c r="H1" i="8"/>
  <c r="G1" i="6"/>
  <c r="S2" i="6" s="1"/>
  <c r="E1" i="8"/>
  <c r="D1" i="8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19" i="2"/>
  <c r="L17" i="2"/>
  <c r="K17" i="2"/>
  <c r="J17" i="2"/>
  <c r="I17" i="2"/>
  <c r="H17" i="2"/>
  <c r="G17" i="2"/>
  <c r="F17" i="2"/>
  <c r="E17" i="2"/>
  <c r="D17" i="2"/>
  <c r="C17" i="2"/>
  <c r="B17" i="2"/>
  <c r="O6" i="1" a="1"/>
  <c r="O5" i="1" a="1"/>
  <c r="O3" i="1" a="1"/>
  <c r="O2" i="1" a="1"/>
  <c r="G3" i="8" l="1"/>
  <c r="G4" i="8"/>
  <c r="G5" i="8"/>
  <c r="G9" i="8"/>
  <c r="G13" i="8"/>
  <c r="G17" i="8"/>
  <c r="G21" i="8"/>
  <c r="G25" i="8"/>
  <c r="G29" i="8"/>
  <c r="G33" i="8"/>
  <c r="G37" i="8"/>
  <c r="G41" i="8"/>
  <c r="G45" i="8"/>
  <c r="G10" i="8"/>
  <c r="G14" i="8"/>
  <c r="G18" i="8"/>
  <c r="G22" i="8"/>
  <c r="G26" i="8"/>
  <c r="G30" i="8"/>
  <c r="G34" i="8"/>
  <c r="G38" i="8"/>
  <c r="G42" i="8"/>
  <c r="G2" i="8"/>
  <c r="G7" i="8"/>
  <c r="G11" i="8"/>
  <c r="G15" i="8"/>
  <c r="G19" i="8"/>
  <c r="G23" i="8"/>
  <c r="G27" i="8"/>
  <c r="G31" i="8"/>
  <c r="G35" i="8"/>
  <c r="G39" i="8"/>
  <c r="G43" i="8"/>
  <c r="G6" i="8"/>
  <c r="G8" i="8"/>
  <c r="G24" i="8"/>
  <c r="G40" i="8"/>
  <c r="G32" i="8"/>
  <c r="G36" i="8"/>
  <c r="G12" i="8"/>
  <c r="G28" i="8"/>
  <c r="G44" i="8"/>
  <c r="G16" i="8"/>
  <c r="G20" i="8"/>
  <c r="E5" i="8"/>
  <c r="E9" i="8"/>
  <c r="E13" i="8"/>
  <c r="E17" i="8"/>
  <c r="E21" i="8"/>
  <c r="E25" i="8"/>
  <c r="E29" i="8"/>
  <c r="E33" i="8"/>
  <c r="E37" i="8"/>
  <c r="E41" i="8"/>
  <c r="E45" i="8"/>
  <c r="E6" i="8"/>
  <c r="E10" i="8"/>
  <c r="E14" i="8"/>
  <c r="E18" i="8"/>
  <c r="E22" i="8"/>
  <c r="E26" i="8"/>
  <c r="E30" i="8"/>
  <c r="E34" i="8"/>
  <c r="E38" i="8"/>
  <c r="E42" i="8"/>
  <c r="E2" i="8"/>
  <c r="E3" i="8"/>
  <c r="E7" i="8"/>
  <c r="E11" i="8"/>
  <c r="E15" i="8"/>
  <c r="E19" i="8"/>
  <c r="E23" i="8"/>
  <c r="E27" i="8"/>
  <c r="E31" i="8"/>
  <c r="E35" i="8"/>
  <c r="E39" i="8"/>
  <c r="E12" i="8"/>
  <c r="E28" i="8"/>
  <c r="E43" i="8"/>
  <c r="E4" i="8"/>
  <c r="E36" i="8"/>
  <c r="E24" i="8"/>
  <c r="E16" i="8"/>
  <c r="E32" i="8"/>
  <c r="E44" i="8"/>
  <c r="E20" i="8"/>
  <c r="E8" i="8"/>
  <c r="E40" i="8"/>
  <c r="B5" i="8"/>
  <c r="B9" i="8"/>
  <c r="B13" i="8"/>
  <c r="B17" i="8"/>
  <c r="B21" i="8"/>
  <c r="B25" i="8"/>
  <c r="B29" i="8"/>
  <c r="B33" i="8"/>
  <c r="B37" i="8"/>
  <c r="B41" i="8"/>
  <c r="B45" i="8"/>
  <c r="B6" i="8"/>
  <c r="B10" i="8"/>
  <c r="B14" i="8"/>
  <c r="B18" i="8"/>
  <c r="B22" i="8"/>
  <c r="B26" i="8"/>
  <c r="B30" i="8"/>
  <c r="B34" i="8"/>
  <c r="B38" i="8"/>
  <c r="B42" i="8"/>
  <c r="B2" i="8"/>
  <c r="B7" i="8"/>
  <c r="B15" i="8"/>
  <c r="B23" i="8"/>
  <c r="B31" i="8"/>
  <c r="B39" i="8"/>
  <c r="B11" i="8"/>
  <c r="B27" i="8"/>
  <c r="B43" i="8"/>
  <c r="B4" i="8"/>
  <c r="B20" i="8"/>
  <c r="B36" i="8"/>
  <c r="B8" i="8"/>
  <c r="B16" i="8"/>
  <c r="B24" i="8"/>
  <c r="B32" i="8"/>
  <c r="B40" i="8"/>
  <c r="B3" i="8"/>
  <c r="B19" i="8"/>
  <c r="B35" i="8"/>
  <c r="B12" i="8"/>
  <c r="B28" i="8"/>
  <c r="B44" i="8"/>
  <c r="D5" i="8"/>
  <c r="D9" i="8"/>
  <c r="D13" i="8"/>
  <c r="D17" i="8"/>
  <c r="D21" i="8"/>
  <c r="D25" i="8"/>
  <c r="D29" i="8"/>
  <c r="D33" i="8"/>
  <c r="D3" i="8"/>
  <c r="D6" i="8"/>
  <c r="D10" i="8"/>
  <c r="D14" i="8"/>
  <c r="D18" i="8"/>
  <c r="D22" i="8"/>
  <c r="D26" i="8"/>
  <c r="D30" i="8"/>
  <c r="D4" i="8"/>
  <c r="D12" i="8"/>
  <c r="D20" i="8"/>
  <c r="D28" i="8"/>
  <c r="D37" i="8"/>
  <c r="D7" i="8"/>
  <c r="D15" i="8"/>
  <c r="D23" i="8"/>
  <c r="D31" i="8"/>
  <c r="D32" i="8"/>
  <c r="D36" i="8"/>
  <c r="D8" i="8"/>
  <c r="D16" i="8"/>
  <c r="D24" i="8"/>
  <c r="D35" i="8"/>
  <c r="D39" i="8"/>
  <c r="D43" i="8"/>
  <c r="D2" i="8"/>
  <c r="D11" i="8"/>
  <c r="D19" i="8"/>
  <c r="D27" i="8"/>
  <c r="D34" i="8"/>
  <c r="D38" i="8"/>
  <c r="D42" i="8"/>
  <c r="D41" i="8"/>
  <c r="D44" i="8"/>
  <c r="D45" i="8"/>
  <c r="D40" i="8"/>
  <c r="H5" i="8"/>
  <c r="H9" i="8"/>
  <c r="H13" i="8"/>
  <c r="H17" i="8"/>
  <c r="H21" i="8"/>
  <c r="H25" i="8"/>
  <c r="H29" i="8"/>
  <c r="H33" i="8"/>
  <c r="H6" i="8"/>
  <c r="H10" i="8"/>
  <c r="H14" i="8"/>
  <c r="H18" i="8"/>
  <c r="H22" i="8"/>
  <c r="H26" i="8"/>
  <c r="H30" i="8"/>
  <c r="H8" i="8"/>
  <c r="H16" i="8"/>
  <c r="H24" i="8"/>
  <c r="H31" i="8"/>
  <c r="H32" i="8"/>
  <c r="H37" i="8"/>
  <c r="H3" i="8"/>
  <c r="H11" i="8"/>
  <c r="H19" i="8"/>
  <c r="H27" i="8"/>
  <c r="H36" i="8"/>
  <c r="H4" i="8"/>
  <c r="H12" i="8"/>
  <c r="H20" i="8"/>
  <c r="H28" i="8"/>
  <c r="H35" i="8"/>
  <c r="H39" i="8"/>
  <c r="H43" i="8"/>
  <c r="H2" i="8"/>
  <c r="H7" i="8"/>
  <c r="H15" i="8"/>
  <c r="H23" i="8"/>
  <c r="H34" i="8"/>
  <c r="H38" i="8"/>
  <c r="H42" i="8"/>
  <c r="H45" i="8"/>
  <c r="H40" i="8"/>
  <c r="H41" i="8"/>
  <c r="H44" i="8"/>
  <c r="C4" i="8"/>
  <c r="C8" i="8"/>
  <c r="C12" i="8"/>
  <c r="C16" i="8"/>
  <c r="C20" i="8"/>
  <c r="C24" i="8"/>
  <c r="C28" i="8"/>
  <c r="C32" i="8"/>
  <c r="C3" i="8"/>
  <c r="C5" i="8"/>
  <c r="C9" i="8"/>
  <c r="C13" i="8"/>
  <c r="C17" i="8"/>
  <c r="C21" i="8"/>
  <c r="C25" i="8"/>
  <c r="C29" i="8"/>
  <c r="C7" i="8"/>
  <c r="C15" i="8"/>
  <c r="C23" i="8"/>
  <c r="C31" i="8"/>
  <c r="C36" i="8"/>
  <c r="C40" i="8"/>
  <c r="C10" i="8"/>
  <c r="C18" i="8"/>
  <c r="C26" i="8"/>
  <c r="C33" i="8"/>
  <c r="C35" i="8"/>
  <c r="C11" i="8"/>
  <c r="C19" i="8"/>
  <c r="C27" i="8"/>
  <c r="C34" i="8"/>
  <c r="C38" i="8"/>
  <c r="C42" i="8"/>
  <c r="C6" i="8"/>
  <c r="C14" i="8"/>
  <c r="C22" i="8"/>
  <c r="C30" i="8"/>
  <c r="C37" i="8"/>
  <c r="C41" i="8"/>
  <c r="C45" i="8"/>
  <c r="C39" i="8"/>
  <c r="C44" i="8"/>
  <c r="C43" i="8"/>
  <c r="C2" i="8"/>
  <c r="K4" i="8"/>
  <c r="K8" i="8"/>
  <c r="K12" i="8"/>
  <c r="K16" i="8"/>
  <c r="K20" i="8"/>
  <c r="K24" i="8"/>
  <c r="K28" i="8"/>
  <c r="K32" i="8"/>
  <c r="K5" i="8"/>
  <c r="K9" i="8"/>
  <c r="K13" i="8"/>
  <c r="K17" i="8"/>
  <c r="K21" i="8"/>
  <c r="K25" i="8"/>
  <c r="K29" i="8"/>
  <c r="K7" i="8"/>
  <c r="K15" i="8"/>
  <c r="K23" i="8"/>
  <c r="K36" i="8"/>
  <c r="K10" i="8"/>
  <c r="K18" i="8"/>
  <c r="K26" i="8"/>
  <c r="K35" i="8"/>
  <c r="K3" i="8"/>
  <c r="K11" i="8"/>
  <c r="K19" i="8"/>
  <c r="K27" i="8"/>
  <c r="K31" i="8"/>
  <c r="K34" i="8"/>
  <c r="K38" i="8"/>
  <c r="K42" i="8"/>
  <c r="K6" i="8"/>
  <c r="K14" i="8"/>
  <c r="K22" i="8"/>
  <c r="K30" i="8"/>
  <c r="K33" i="8"/>
  <c r="K37" i="8"/>
  <c r="K41" i="8"/>
  <c r="K45" i="8"/>
  <c r="K44" i="8"/>
  <c r="K39" i="8"/>
  <c r="K40" i="8"/>
  <c r="K43" i="8"/>
  <c r="K2" i="8"/>
  <c r="I6" i="8"/>
  <c r="I10" i="8"/>
  <c r="I14" i="8"/>
  <c r="I18" i="8"/>
  <c r="I22" i="8"/>
  <c r="I26" i="8"/>
  <c r="I30" i="8"/>
  <c r="I3" i="8"/>
  <c r="I7" i="8"/>
  <c r="I11" i="8"/>
  <c r="I15" i="8"/>
  <c r="I19" i="8"/>
  <c r="I23" i="8"/>
  <c r="I27" i="8"/>
  <c r="I5" i="8"/>
  <c r="I13" i="8"/>
  <c r="I21" i="8"/>
  <c r="I29" i="8"/>
  <c r="I34" i="8"/>
  <c r="I38" i="8"/>
  <c r="I8" i="8"/>
  <c r="I16" i="8"/>
  <c r="I24" i="8"/>
  <c r="I31" i="8"/>
  <c r="I32" i="8"/>
  <c r="I33" i="8"/>
  <c r="I9" i="8"/>
  <c r="I17" i="8"/>
  <c r="I25" i="8"/>
  <c r="I36" i="8"/>
  <c r="I40" i="8"/>
  <c r="I44" i="8"/>
  <c r="I4" i="8"/>
  <c r="I12" i="8"/>
  <c r="I20" i="8"/>
  <c r="I28" i="8"/>
  <c r="I35" i="8"/>
  <c r="I39" i="8"/>
  <c r="I43" i="8"/>
  <c r="I2" i="8"/>
  <c r="I37" i="8"/>
  <c r="I42" i="8"/>
  <c r="I45" i="8"/>
  <c r="I41" i="8"/>
  <c r="L5" i="8"/>
  <c r="L9" i="8"/>
  <c r="L13" i="8"/>
  <c r="L17" i="8"/>
  <c r="L21" i="8"/>
  <c r="L25" i="8"/>
  <c r="L29" i="8"/>
  <c r="L6" i="8"/>
  <c r="L10" i="8"/>
  <c r="L14" i="8"/>
  <c r="L18" i="8"/>
  <c r="L22" i="8"/>
  <c r="L26" i="8"/>
  <c r="L30" i="8"/>
  <c r="L4" i="8"/>
  <c r="L12" i="8"/>
  <c r="L20" i="8"/>
  <c r="L28" i="8"/>
  <c r="L33" i="8"/>
  <c r="L37" i="8"/>
  <c r="L7" i="8"/>
  <c r="L15" i="8"/>
  <c r="L23" i="8"/>
  <c r="L36" i="8"/>
  <c r="L8" i="8"/>
  <c r="L16" i="8"/>
  <c r="L24" i="8"/>
  <c r="L35" i="8"/>
  <c r="L39" i="8"/>
  <c r="L43" i="8"/>
  <c r="L2" i="8"/>
  <c r="L3" i="8"/>
  <c r="L11" i="8"/>
  <c r="L19" i="8"/>
  <c r="L27" i="8"/>
  <c r="L31" i="8"/>
  <c r="L32" i="8"/>
  <c r="L34" i="8"/>
  <c r="L38" i="8"/>
  <c r="L42" i="8"/>
  <c r="L41" i="8"/>
  <c r="L44" i="8"/>
  <c r="L45" i="8"/>
  <c r="L40" i="8"/>
  <c r="F3" i="8"/>
  <c r="F7" i="8"/>
  <c r="F11" i="8"/>
  <c r="F15" i="8"/>
  <c r="F19" i="8"/>
  <c r="F23" i="8"/>
  <c r="F27" i="8"/>
  <c r="F31" i="8"/>
  <c r="F4" i="8"/>
  <c r="F8" i="8"/>
  <c r="F12" i="8"/>
  <c r="F16" i="8"/>
  <c r="F20" i="8"/>
  <c r="F24" i="8"/>
  <c r="F28" i="8"/>
  <c r="F6" i="8"/>
  <c r="F14" i="8"/>
  <c r="F22" i="8"/>
  <c r="F30" i="8"/>
  <c r="F35" i="8"/>
  <c r="F39" i="8"/>
  <c r="F9" i="8"/>
  <c r="F17" i="8"/>
  <c r="F25" i="8"/>
  <c r="F34" i="8"/>
  <c r="F10" i="8"/>
  <c r="F18" i="8"/>
  <c r="F26" i="8"/>
  <c r="F37" i="8"/>
  <c r="F41" i="8"/>
  <c r="F45" i="8"/>
  <c r="F5" i="8"/>
  <c r="F13" i="8"/>
  <c r="F21" i="8"/>
  <c r="F29" i="8"/>
  <c r="F32" i="8"/>
  <c r="F33" i="8"/>
  <c r="F36" i="8"/>
  <c r="F40" i="8"/>
  <c r="F44" i="8"/>
  <c r="F43" i="8"/>
  <c r="F2" i="8"/>
  <c r="F38" i="8"/>
  <c r="F42" i="8"/>
  <c r="J3" i="8"/>
  <c r="J7" i="8"/>
  <c r="J11" i="8"/>
  <c r="J15" i="8"/>
  <c r="J19" i="8"/>
  <c r="J23" i="8"/>
  <c r="J27" i="8"/>
  <c r="J31" i="8"/>
  <c r="J4" i="8"/>
  <c r="J8" i="8"/>
  <c r="J12" i="8"/>
  <c r="J16" i="8"/>
  <c r="J20" i="8"/>
  <c r="J24" i="8"/>
  <c r="J28" i="8"/>
  <c r="J10" i="8"/>
  <c r="J18" i="8"/>
  <c r="J26" i="8"/>
  <c r="J35" i="8"/>
  <c r="J39" i="8"/>
  <c r="J5" i="8"/>
  <c r="J13" i="8"/>
  <c r="J21" i="8"/>
  <c r="J29" i="8"/>
  <c r="J34" i="8"/>
  <c r="J6" i="8"/>
  <c r="J14" i="8"/>
  <c r="J22" i="8"/>
  <c r="J30" i="8"/>
  <c r="J32" i="8"/>
  <c r="J33" i="8"/>
  <c r="J37" i="8"/>
  <c r="J41" i="8"/>
  <c r="J45" i="8"/>
  <c r="J9" i="8"/>
  <c r="J17" i="8"/>
  <c r="J25" i="8"/>
  <c r="J36" i="8"/>
  <c r="J40" i="8"/>
  <c r="J44" i="8"/>
  <c r="J42" i="8"/>
  <c r="J43" i="8"/>
  <c r="J2" i="8"/>
  <c r="J38" i="8"/>
  <c r="L14" i="7"/>
  <c r="J14" i="7"/>
  <c r="H14" i="7"/>
  <c r="F14" i="7"/>
  <c r="D14" i="7"/>
  <c r="B14" i="7"/>
  <c r="M4" i="7" a="1"/>
  <c r="M4" i="7" s="1"/>
  <c r="L1" i="8"/>
  <c r="O5" i="1"/>
  <c r="O3" i="1"/>
  <c r="O6" i="1"/>
  <c r="O2" i="1"/>
  <c r="B1" i="8"/>
  <c r="B2" i="7"/>
  <c r="F1" i="8"/>
  <c r="F2" i="7"/>
  <c r="J1" i="8"/>
  <c r="J2" i="7"/>
  <c r="B1" i="6"/>
  <c r="N2" i="6" s="1"/>
  <c r="J1" i="6"/>
  <c r="V2" i="6" s="1"/>
  <c r="C2" i="7"/>
  <c r="C1" i="8"/>
  <c r="G2" i="7"/>
  <c r="G1" i="8"/>
  <c r="K2" i="7"/>
  <c r="K1" i="8"/>
  <c r="C1" i="6"/>
  <c r="O2" i="6" s="1"/>
  <c r="K1" i="6"/>
  <c r="W2" i="6" s="1"/>
  <c r="D2" i="7"/>
  <c r="H2" i="7"/>
  <c r="L2" i="7"/>
  <c r="D1" i="6"/>
  <c r="P2" i="6" s="1"/>
  <c r="H1" i="6"/>
  <c r="T2" i="6" s="1"/>
  <c r="L1" i="6"/>
  <c r="E2" i="7"/>
  <c r="I2" i="7"/>
  <c r="E1" i="6"/>
  <c r="Q2" i="6" s="1"/>
  <c r="I1" i="6"/>
  <c r="U2" i="6" s="1"/>
  <c r="L11" i="7" l="1"/>
  <c r="L10" i="7"/>
  <c r="H11" i="7"/>
  <c r="H10" i="7"/>
  <c r="D10" i="7"/>
  <c r="D11" i="7"/>
  <c r="J11" i="7"/>
  <c r="J10" i="7"/>
  <c r="F11" i="7"/>
  <c r="F10" i="7"/>
  <c r="B11" i="7"/>
  <c r="B10" i="7"/>
  <c r="K11" i="7"/>
  <c r="K10" i="7"/>
  <c r="E11" i="7"/>
  <c r="E10" i="7"/>
  <c r="G11" i="7"/>
  <c r="G10" i="7"/>
  <c r="C11" i="7"/>
  <c r="C10" i="7"/>
  <c r="I11" i="7"/>
  <c r="I10" i="7"/>
  <c r="C3" i="3"/>
  <c r="B21" i="3"/>
  <c r="B20" i="3"/>
  <c r="M13" i="6"/>
  <c r="X2" i="6"/>
  <c r="M6" i="8"/>
  <c r="M20" i="8"/>
  <c r="M5" i="8"/>
  <c r="M8" i="8"/>
  <c r="M11" i="8"/>
  <c r="M27" i="8"/>
  <c r="M32" i="8"/>
  <c r="M21" i="8"/>
  <c r="M37" i="8"/>
  <c r="M38" i="8"/>
  <c r="M43" i="8"/>
  <c r="M3" i="6" a="1"/>
  <c r="M10" i="8"/>
  <c r="M24" i="8"/>
  <c r="M9" i="8"/>
  <c r="M12" i="8"/>
  <c r="M15" i="8"/>
  <c r="M18" i="8"/>
  <c r="M36" i="8"/>
  <c r="M25" i="8"/>
  <c r="M41" i="8"/>
  <c r="M42" i="8"/>
  <c r="M31" i="8"/>
  <c r="M14" i="8"/>
  <c r="M28" i="8"/>
  <c r="M13" i="8"/>
  <c r="M3" i="8"/>
  <c r="M19" i="8"/>
  <c r="M22" i="8"/>
  <c r="M40" i="8"/>
  <c r="M29" i="8"/>
  <c r="M45" i="8"/>
  <c r="M30" i="8"/>
  <c r="M35" i="8"/>
  <c r="M16" i="8"/>
  <c r="M2" i="8"/>
  <c r="M4" i="8"/>
  <c r="M7" i="8"/>
  <c r="M23" i="8"/>
  <c r="M26" i="8"/>
  <c r="M44" i="8"/>
  <c r="M17" i="8"/>
  <c r="M33" i="8"/>
  <c r="M34" i="8"/>
  <c r="M39" i="8"/>
  <c r="M11" i="7" l="1"/>
  <c r="B18" i="7" s="1"/>
  <c r="M10" i="7"/>
  <c r="B17" i="7" s="1"/>
  <c r="N2" i="8"/>
  <c r="B18" i="3"/>
  <c r="B8" i="3"/>
  <c r="B16" i="3"/>
  <c r="B10" i="3"/>
  <c r="B4" i="3"/>
  <c r="B17" i="3"/>
  <c r="B13" i="3"/>
  <c r="B9" i="3"/>
  <c r="B5" i="3"/>
  <c r="B14" i="3"/>
  <c r="B12" i="3"/>
  <c r="B6" i="3"/>
  <c r="B19" i="3"/>
  <c r="B15" i="3"/>
  <c r="B11" i="3"/>
  <c r="B7" i="3"/>
  <c r="B3" i="3"/>
  <c r="C12" i="7"/>
  <c r="G12" i="7"/>
  <c r="J12" i="7"/>
  <c r="H12" i="7"/>
  <c r="M9" i="6"/>
  <c r="M5" i="6"/>
  <c r="M12" i="6"/>
  <c r="M8" i="6"/>
  <c r="M4" i="6"/>
  <c r="M11" i="6"/>
  <c r="M7" i="6"/>
  <c r="M10" i="6"/>
  <c r="M6" i="6"/>
  <c r="M3" i="6"/>
  <c r="E12" i="7"/>
  <c r="B12" i="7"/>
  <c r="L12" i="7"/>
  <c r="K12" i="7"/>
  <c r="D12" i="7"/>
  <c r="F12" i="7"/>
  <c r="I12" i="7"/>
  <c r="M12" i="7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<sst xmlns="http://schemas.openxmlformats.org/spreadsheetml/2006/main" count="184" uniqueCount="119">
  <si>
    <t>Предварительные итоги конкурса 416 группы</t>
  </si>
  <si>
    <t>Список</t>
  </si>
  <si>
    <t>Дата и время</t>
  </si>
  <si>
    <t>checksum</t>
  </si>
  <si>
    <t>Итого</t>
  </si>
  <si>
    <t>std</t>
  </si>
  <si>
    <t>mean</t>
  </si>
  <si>
    <t>var</t>
  </si>
  <si>
    <t>Характеристика портфелей по Стандартному отклонению</t>
  </si>
  <si>
    <t>Характеристика портфелей по VAR 95%</t>
  </si>
  <si>
    <t>Результат на</t>
  </si>
  <si>
    <t>start</t>
  </si>
  <si>
    <t>Correlation Matrix</t>
  </si>
  <si>
    <t>итого</t>
  </si>
  <si>
    <t>d_k</t>
  </si>
  <si>
    <t>abs(d_k)</t>
  </si>
  <si>
    <t>low bound</t>
  </si>
  <si>
    <t>high bound</t>
  </si>
  <si>
    <t>money</t>
  </si>
  <si>
    <t>futures</t>
  </si>
  <si>
    <t>VAR</t>
  </si>
  <si>
    <t>СРЕДНЕЕ</t>
  </si>
  <si>
    <t>СТАНД.ОТКЛОН</t>
  </si>
  <si>
    <t>Normal Var</t>
  </si>
  <si>
    <t>Initial</t>
  </si>
  <si>
    <t xml:space="preserve"> </t>
  </si>
  <si>
    <t/>
  </si>
  <si>
    <t>Стоимость позиций</t>
  </si>
  <si>
    <t>Реальная в.маржа</t>
  </si>
  <si>
    <t>Суммарная в.маржа</t>
  </si>
  <si>
    <t>19.12.19</t>
  </si>
  <si>
    <t>&lt;DATE&gt;</t>
  </si>
  <si>
    <t>% измен.закр.</t>
  </si>
  <si>
    <t>Цена послед.</t>
  </si>
  <si>
    <t>Предл.</t>
  </si>
  <si>
    <t>Спрос</t>
  </si>
  <si>
    <t>Правила задания портфеля</t>
  </si>
  <si>
    <t>1. Положительное число означает покупку, отрицательное продажу</t>
  </si>
  <si>
    <t>2. Сумма модулей чисел портфеля должно быть равно 1</t>
  </si>
  <si>
    <t>3. Портфель должен состоять минимум из 3 активов. С минимальной долей больше, чем 0.05 по абсолютной величине</t>
  </si>
  <si>
    <t>Андрианов Владислав Дмитриевич</t>
  </si>
  <si>
    <t>Арифуллин Артур Исхакович</t>
  </si>
  <si>
    <t>Болотин Данила Александрович</t>
  </si>
  <si>
    <t>Боровко Никита Алексеевич</t>
  </si>
  <si>
    <t>Викторов Антон Андреевич</t>
  </si>
  <si>
    <t>Кадерова Надия Ренатовна</t>
  </si>
  <si>
    <t>Карпов Кирилл Михайлович</t>
  </si>
  <si>
    <t>Ладысева Алина Александровна</t>
  </si>
  <si>
    <t>Навалихин Александр Ильич</t>
  </si>
  <si>
    <t>Оганисян Эдгар Гагикович</t>
  </si>
  <si>
    <t>Осипов Денис Михайлович</t>
  </si>
  <si>
    <t>Пикуров Даниил Сергеевич</t>
  </si>
  <si>
    <t>Пудовиков Андрей Дмитриевич</t>
  </si>
  <si>
    <t>Рачков Денис Сергеевич</t>
  </si>
  <si>
    <t>Риве Алина Адриановна</t>
  </si>
  <si>
    <t>Селюшкина Наталья Евгеньевна</t>
  </si>
  <si>
    <t>Смирнов Иван Сергеевич</t>
  </si>
  <si>
    <t>Тижин Никита Романович</t>
  </si>
  <si>
    <t>Хорошев Олег Евгеньевич</t>
  </si>
  <si>
    <t>Хоружев Илья Максимович</t>
  </si>
  <si>
    <t>Чевилев Никита Вячеславович</t>
  </si>
  <si>
    <t>Шурыгин Всеволод Евгеньевич</t>
  </si>
  <si>
    <t>Шустова Екатерина Дмитриевна</t>
  </si>
  <si>
    <t>ГО покупателя</t>
  </si>
  <si>
    <t>Оборот</t>
  </si>
  <si>
    <t>Кол-во сделок</t>
  </si>
  <si>
    <t>Погашение</t>
  </si>
  <si>
    <t>Валюта шага цены</t>
  </si>
  <si>
    <t>12/01/23</t>
  </si>
  <si>
    <t>USD</t>
  </si>
  <si>
    <t>12/21/23</t>
  </si>
  <si>
    <t>SUR</t>
  </si>
  <si>
    <t>12/22/23</t>
  </si>
  <si>
    <t>11/28/23</t>
  </si>
  <si>
    <t xml:space="preserve">Мазур Анастасия Вадимовна </t>
  </si>
  <si>
    <t>Низов Александр Сергеевич</t>
  </si>
  <si>
    <t xml:space="preserve">ED-12.19 </t>
  </si>
  <si>
    <t>18/09/23</t>
  </si>
  <si>
    <t>19/09/23</t>
  </si>
  <si>
    <t>20/09/23</t>
  </si>
  <si>
    <t>21/09/23</t>
  </si>
  <si>
    <t>22/09/23</t>
  </si>
  <si>
    <t>25/09/23</t>
  </si>
  <si>
    <t>26/09/23</t>
  </si>
  <si>
    <t>27/09/23</t>
  </si>
  <si>
    <t>28/09/23</t>
  </si>
  <si>
    <t>29/09/23</t>
  </si>
  <si>
    <t>13/10/23</t>
  </si>
  <si>
    <t>16/10/23</t>
  </si>
  <si>
    <t>17/10/23</t>
  </si>
  <si>
    <t>18/10/23</t>
  </si>
  <si>
    <t>19/10/23</t>
  </si>
  <si>
    <t>20/10/23</t>
  </si>
  <si>
    <t>23/10/23</t>
  </si>
  <si>
    <t>24/10/23</t>
  </si>
  <si>
    <t>25/10/23</t>
  </si>
  <si>
    <t>26/10/23</t>
  </si>
  <si>
    <t>27/10/23</t>
  </si>
  <si>
    <t>30/10/23</t>
  </si>
  <si>
    <t>31/10/23</t>
  </si>
  <si>
    <t>13/11/23</t>
  </si>
  <si>
    <t>14/11/23</t>
  </si>
  <si>
    <t>15/11/23</t>
  </si>
  <si>
    <t>16/11/23</t>
  </si>
  <si>
    <t>17/11/23</t>
  </si>
  <si>
    <t>20/11/23</t>
  </si>
  <si>
    <t>21/11/23</t>
  </si>
  <si>
    <t>BR-12.23 [FORTS]</t>
  </si>
  <si>
    <t>GAZR-12.23 [FORTS]</t>
  </si>
  <si>
    <t>GMKN-12.23 [FORTS]</t>
  </si>
  <si>
    <t>GOLD-12.23 [FORTS]</t>
  </si>
  <si>
    <t>LKOH-12.23 [FORTS]</t>
  </si>
  <si>
    <t>NG-11.23 [FORTS]</t>
  </si>
  <si>
    <t>ROSN-12.23 [FORTS]</t>
  </si>
  <si>
    <t>PLZL-12.23 [FORTS]</t>
  </si>
  <si>
    <t>RTS-12.23 [FORTS]</t>
  </si>
  <si>
    <t>SBRF-12.23 [FORTS]</t>
  </si>
  <si>
    <t>Si-12.23 [FORTS]</t>
  </si>
  <si>
    <t>CNY-12.23 [FORTS]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</si>
</sst>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d\-mmm\-yy"/>
    <numFmt numFmtId="165" formatCode="[$-409]dd/mm/yy\ h:mm\ AM/PM;@"/>
  </numFmts>
  <fonts count="34">
    <font>
      <sz val="10"/>
      <color rgb="FF000000"/>
      <name val="Arimo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name val="Arimo"/>
    </font>
    <font>
      <b/>
      <sz val="12"/>
      <name val="Arimo"/>
    </font>
    <font>
      <b/>
      <i/>
      <sz val="10"/>
      <name val="Arimo"/>
    </font>
    <font>
      <sz val="11"/>
      <color rgb="FF000000"/>
      <name val="Calibri"/>
      <family val="2"/>
      <charset val="204"/>
    </font>
    <font>
      <b/>
      <sz val="9"/>
      <color rgb="FFFFFFFF"/>
      <name val="Arimo"/>
    </font>
    <font>
      <sz val="10"/>
      <name val="Arimo"/>
    </font>
    <font>
      <b/>
      <i/>
      <sz val="10"/>
      <color rgb="FFFFFFFF"/>
      <name val="Arimo"/>
    </font>
    <font>
      <b/>
      <sz val="10"/>
      <name val="Arimo"/>
    </font>
    <font>
      <b/>
      <sz val="14"/>
      <name val="Arimo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Arimo"/>
    </font>
    <font>
      <sz val="8"/>
      <name val="Arimo"/>
    </font>
    <font>
      <sz val="12"/>
      <color theme="1"/>
      <name val="Times New Roman"/>
      <family val="1"/>
      <charset val="204"/>
    </font>
    <font>
      <i/>
      <sz val="20"/>
      <color rgb="FF000000"/>
      <name val="Arimo"/>
    </font>
    <font>
      <sz val="10"/>
      <color rgb="FF000000"/>
      <name val="Arimo"/>
    </font>
  </fonts>
  <fills count="40">
    <fill>
      <patternFill patternType="none"/>
    </fill>
    <fill>
      <patternFill patternType="gray125"/>
    </fill>
    <fill>
      <patternFill patternType="solid">
        <fgColor rgb="FF800080"/>
        <bgColor rgb="FF800080"/>
      </patternFill>
    </fill>
    <fill>
      <patternFill patternType="solid">
        <fgColor rgb="FFCC99FF"/>
        <bgColor rgb="FFCC99FF"/>
      </patternFill>
    </fill>
    <fill>
      <patternFill patternType="solid">
        <fgColor rgb="FFD99594"/>
        <bgColor rgb="FFD99594"/>
      </patternFill>
    </fill>
    <fill>
      <patternFill patternType="solid">
        <fgColor rgb="FFC2D69B"/>
        <bgColor rgb="FFC2D69B"/>
      </patternFill>
    </fill>
    <fill>
      <patternFill patternType="solid">
        <fgColor rgb="FF92CDDC"/>
        <bgColor rgb="FF92CDDC"/>
      </patternFill>
    </fill>
    <fill>
      <patternFill patternType="solid">
        <fgColor rgb="FFB6DDE8"/>
        <bgColor rgb="FFB6DDE8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</fills>
  <borders count="38">
    <border>
      <left/>
      <right/>
      <top/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ck">
        <color rgb="FF000000"/>
      </bottom>
      <diagonal/>
    </border>
    <border>
      <left/>
      <right style="thin">
        <color rgb="FF000000"/>
      </right>
      <top style="thick">
        <color rgb="FF000000"/>
      </top>
      <bottom style="thick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ck">
        <color rgb="FF000000"/>
      </top>
      <bottom style="thick">
        <color rgb="FF000000"/>
      </bottom>
      <diagonal/>
    </border>
    <border>
      <left style="double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 style="double">
        <color rgb="FF000000"/>
      </right>
      <top style="double">
        <color rgb="FF000000"/>
      </top>
      <bottom/>
      <diagonal/>
    </border>
    <border>
      <left style="double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double">
        <color rgb="FF000000"/>
      </right>
      <top/>
      <bottom/>
      <diagonal/>
    </border>
    <border>
      <left/>
      <right style="thin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/>
      <bottom style="double">
        <color rgb="FF000000"/>
      </bottom>
      <diagonal/>
    </border>
    <border>
      <left style="thin">
        <color rgb="FF000000"/>
      </left>
      <right style="double">
        <color rgb="FF000000"/>
      </right>
      <top/>
      <bottom style="double">
        <color rgb="FF000000"/>
      </bottom>
      <diagonal/>
    </border>
    <border>
      <left style="double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double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uble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rgb="FF000000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double">
        <color rgb="FF000000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CCCCCC"/>
      </bottom>
      <diagonal/>
    </border>
  </borders>
  <cellStyleXfs count="59">
    <xf numFmtId="0" fontId="0" fillId="0" borderId="0"/>
    <xf numFmtId="0" fontId="14" fillId="0" borderId="27" applyNumberFormat="0" applyFill="0" applyAlignment="0" applyProtection="0"/>
    <xf numFmtId="0" fontId="15" fillId="0" borderId="28" applyNumberFormat="0" applyFill="0" applyAlignment="0" applyProtection="0"/>
    <xf numFmtId="0" fontId="16" fillId="0" borderId="29" applyNumberFormat="0" applyFill="0" applyAlignment="0" applyProtection="0"/>
    <xf numFmtId="0" fontId="20" fillId="11" borderId="30" applyNumberFormat="0" applyAlignment="0" applyProtection="0"/>
    <xf numFmtId="0" fontId="21" fillId="12" borderId="31" applyNumberFormat="0" applyAlignment="0" applyProtection="0"/>
    <xf numFmtId="0" fontId="22" fillId="12" borderId="30" applyNumberFormat="0" applyAlignment="0" applyProtection="0"/>
    <xf numFmtId="0" fontId="23" fillId="0" borderId="32" applyNumberFormat="0" applyFill="0" applyAlignment="0" applyProtection="0"/>
    <xf numFmtId="0" fontId="24" fillId="13" borderId="33" applyNumberFormat="0" applyAlignment="0" applyProtection="0"/>
    <xf numFmtId="0" fontId="27" fillId="0" borderId="35" applyNumberFormat="0" applyFill="0" applyAlignment="0" applyProtection="0"/>
    <xf numFmtId="0" fontId="3" fillId="0" borderId="4"/>
    <xf numFmtId="0" fontId="13" fillId="0" borderId="4" applyNumberFormat="0" applyFill="0" applyBorder="0" applyAlignment="0" applyProtection="0"/>
    <xf numFmtId="0" fontId="16" fillId="0" borderId="4" applyNumberFormat="0" applyFill="0" applyBorder="0" applyAlignment="0" applyProtection="0"/>
    <xf numFmtId="0" fontId="17" fillId="8" borderId="4" applyNumberFormat="0" applyBorder="0" applyAlignment="0" applyProtection="0"/>
    <xf numFmtId="0" fontId="18" fillId="9" borderId="4" applyNumberFormat="0" applyBorder="0" applyAlignment="0" applyProtection="0"/>
    <xf numFmtId="0" fontId="19" fillId="10" borderId="4" applyNumberFormat="0" applyBorder="0" applyAlignment="0" applyProtection="0"/>
    <xf numFmtId="0" fontId="25" fillId="0" borderId="4" applyNumberFormat="0" applyFill="0" applyBorder="0" applyAlignment="0" applyProtection="0"/>
    <xf numFmtId="0" fontId="3" fillId="14" borderId="34" applyNumberFormat="0" applyFont="0" applyAlignment="0" applyProtection="0"/>
    <xf numFmtId="0" fontId="26" fillId="0" borderId="4" applyNumberFormat="0" applyFill="0" applyBorder="0" applyAlignment="0" applyProtection="0"/>
    <xf numFmtId="0" fontId="28" fillId="15" borderId="4" applyNumberFormat="0" applyBorder="0" applyAlignment="0" applyProtection="0"/>
    <xf numFmtId="0" fontId="3" fillId="16" borderId="4" applyNumberFormat="0" applyBorder="0" applyAlignment="0" applyProtection="0"/>
    <xf numFmtId="0" fontId="3" fillId="17" borderId="4" applyNumberFormat="0" applyBorder="0" applyAlignment="0" applyProtection="0"/>
    <xf numFmtId="0" fontId="28" fillId="18" borderId="4" applyNumberFormat="0" applyBorder="0" applyAlignment="0" applyProtection="0"/>
    <xf numFmtId="0" fontId="28" fillId="19" borderId="4" applyNumberFormat="0" applyBorder="0" applyAlignment="0" applyProtection="0"/>
    <xf numFmtId="0" fontId="3" fillId="20" borderId="4" applyNumberFormat="0" applyBorder="0" applyAlignment="0" applyProtection="0"/>
    <xf numFmtId="0" fontId="3" fillId="21" borderId="4" applyNumberFormat="0" applyBorder="0" applyAlignment="0" applyProtection="0"/>
    <xf numFmtId="0" fontId="28" fillId="22" borderId="4" applyNumberFormat="0" applyBorder="0" applyAlignment="0" applyProtection="0"/>
    <xf numFmtId="0" fontId="28" fillId="23" borderId="4" applyNumberFormat="0" applyBorder="0" applyAlignment="0" applyProtection="0"/>
    <xf numFmtId="0" fontId="3" fillId="24" borderId="4" applyNumberFormat="0" applyBorder="0" applyAlignment="0" applyProtection="0"/>
    <xf numFmtId="0" fontId="3" fillId="25" borderId="4" applyNumberFormat="0" applyBorder="0" applyAlignment="0" applyProtection="0"/>
    <xf numFmtId="0" fontId="28" fillId="26" borderId="4" applyNumberFormat="0" applyBorder="0" applyAlignment="0" applyProtection="0"/>
    <xf numFmtId="0" fontId="28" fillId="27" borderId="4" applyNumberFormat="0" applyBorder="0" applyAlignment="0" applyProtection="0"/>
    <xf numFmtId="0" fontId="3" fillId="28" borderId="4" applyNumberFormat="0" applyBorder="0" applyAlignment="0" applyProtection="0"/>
    <xf numFmtId="0" fontId="3" fillId="29" borderId="4" applyNumberFormat="0" applyBorder="0" applyAlignment="0" applyProtection="0"/>
    <xf numFmtId="0" fontId="28" fillId="30" borderId="4" applyNumberFormat="0" applyBorder="0" applyAlignment="0" applyProtection="0"/>
    <xf numFmtId="0" fontId="28" fillId="31" borderId="4" applyNumberFormat="0" applyBorder="0" applyAlignment="0" applyProtection="0"/>
    <xf numFmtId="0" fontId="3" fillId="32" borderId="4" applyNumberFormat="0" applyBorder="0" applyAlignment="0" applyProtection="0"/>
    <xf numFmtId="0" fontId="3" fillId="33" borderId="4" applyNumberFormat="0" applyBorder="0" applyAlignment="0" applyProtection="0"/>
    <xf numFmtId="0" fontId="28" fillId="34" borderId="4" applyNumberFormat="0" applyBorder="0" applyAlignment="0" applyProtection="0"/>
    <xf numFmtId="0" fontId="28" fillId="35" borderId="4" applyNumberFormat="0" applyBorder="0" applyAlignment="0" applyProtection="0"/>
    <xf numFmtId="0" fontId="3" fillId="36" borderId="4" applyNumberFormat="0" applyBorder="0" applyAlignment="0" applyProtection="0"/>
    <xf numFmtId="0" fontId="3" fillId="37" borderId="4" applyNumberFormat="0" applyBorder="0" applyAlignment="0" applyProtection="0"/>
    <xf numFmtId="0" fontId="28" fillId="38" borderId="4" applyNumberFormat="0" applyBorder="0" applyAlignment="0" applyProtection="0"/>
    <xf numFmtId="0" fontId="2" fillId="0" borderId="4"/>
    <xf numFmtId="0" fontId="33" fillId="0" borderId="4"/>
    <xf numFmtId="0" fontId="1" fillId="0" borderId="4"/>
    <xf numFmtId="0" fontId="1" fillId="14" borderId="34" applyNumberFormat="0" applyFont="0" applyAlignment="0" applyProtection="0"/>
    <xf numFmtId="0" fontId="1" fillId="16" borderId="4" applyNumberFormat="0" applyBorder="0" applyAlignment="0" applyProtection="0"/>
    <xf numFmtId="0" fontId="1" fillId="17" borderId="4" applyNumberFormat="0" applyBorder="0" applyAlignment="0" applyProtection="0"/>
    <xf numFmtId="0" fontId="1" fillId="20" borderId="4" applyNumberFormat="0" applyBorder="0" applyAlignment="0" applyProtection="0"/>
    <xf numFmtId="0" fontId="1" fillId="21" borderId="4" applyNumberFormat="0" applyBorder="0" applyAlignment="0" applyProtection="0"/>
    <xf numFmtId="0" fontId="1" fillId="24" borderId="4" applyNumberFormat="0" applyBorder="0" applyAlignment="0" applyProtection="0"/>
    <xf numFmtId="0" fontId="1" fillId="25" borderId="4" applyNumberFormat="0" applyBorder="0" applyAlignment="0" applyProtection="0"/>
    <xf numFmtId="0" fontId="1" fillId="28" borderId="4" applyNumberFormat="0" applyBorder="0" applyAlignment="0" applyProtection="0"/>
    <xf numFmtId="0" fontId="1" fillId="29" borderId="4" applyNumberFormat="0" applyBorder="0" applyAlignment="0" applyProtection="0"/>
    <xf numFmtId="0" fontId="1" fillId="32" borderId="4" applyNumberFormat="0" applyBorder="0" applyAlignment="0" applyProtection="0"/>
    <xf numFmtId="0" fontId="1" fillId="33" borderId="4" applyNumberFormat="0" applyBorder="0" applyAlignment="0" applyProtection="0"/>
    <xf numFmtId="0" fontId="1" fillId="36" borderId="4" applyNumberFormat="0" applyBorder="0" applyAlignment="0" applyProtection="0"/>
    <xf numFmtId="0" fontId="1" fillId="37" borderId="4" applyNumberFormat="0" applyBorder="0" applyAlignment="0" applyProtection="0"/>
  </cellStyleXfs>
  <cellXfs count="61">
    <xf numFmtId="0" fontId="0" fillId="0" borderId="0" xfId="0"/>
    <xf numFmtId="0" fontId="4" fillId="2" borderId="1" xfId="0" applyFont="1" applyFill="1" applyBorder="1"/>
    <xf numFmtId="0" fontId="4" fillId="0" borderId="0" xfId="0" applyFont="1"/>
    <xf numFmtId="0" fontId="5" fillId="0" borderId="0" xfId="0" applyFont="1"/>
    <xf numFmtId="0" fontId="6" fillId="0" borderId="2" xfId="0" applyFont="1" applyBorder="1" applyAlignment="1">
      <alignment horizontal="center"/>
    </xf>
    <xf numFmtId="0" fontId="7" fillId="0" borderId="0" xfId="0" applyFont="1"/>
    <xf numFmtId="22" fontId="5" fillId="0" borderId="0" xfId="0" applyNumberFormat="1" applyFont="1"/>
    <xf numFmtId="0" fontId="8" fillId="2" borderId="3" xfId="0" applyFont="1" applyFill="1" applyBorder="1" applyAlignment="1">
      <alignment horizontal="right"/>
    </xf>
    <xf numFmtId="22" fontId="4" fillId="0" borderId="0" xfId="0" applyNumberFormat="1" applyFont="1"/>
    <xf numFmtId="0" fontId="8" fillId="2" borderId="4" xfId="0" applyFont="1" applyFill="1" applyBorder="1" applyAlignment="1">
      <alignment horizontal="right"/>
    </xf>
    <xf numFmtId="0" fontId="8" fillId="2" borderId="5" xfId="0" applyFont="1" applyFill="1" applyBorder="1" applyAlignment="1">
      <alignment horizontal="right"/>
    </xf>
    <xf numFmtId="14" fontId="10" fillId="2" borderId="6" xfId="0" applyNumberFormat="1" applyFont="1" applyFill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8" xfId="0" applyFont="1" applyBorder="1"/>
    <xf numFmtId="0" fontId="11" fillId="0" borderId="9" xfId="0" applyFont="1" applyBorder="1"/>
    <xf numFmtId="0" fontId="11" fillId="0" borderId="10" xfId="0" applyFont="1" applyBorder="1" applyAlignment="1">
      <alignment horizontal="center"/>
    </xf>
    <xf numFmtId="0" fontId="11" fillId="0" borderId="11" xfId="0" applyFont="1" applyBorder="1"/>
    <xf numFmtId="0" fontId="11" fillId="0" borderId="12" xfId="0" applyFont="1" applyBorder="1"/>
    <xf numFmtId="0" fontId="10" fillId="2" borderId="13" xfId="0" applyFont="1" applyFill="1" applyBorder="1" applyAlignment="1">
      <alignment horizontal="center"/>
    </xf>
    <xf numFmtId="0" fontId="11" fillId="0" borderId="15" xfId="0" applyFont="1" applyBorder="1" applyAlignment="1">
      <alignment horizontal="center"/>
    </xf>
    <xf numFmtId="0" fontId="11" fillId="0" borderId="16" xfId="0" applyFont="1" applyBorder="1"/>
    <xf numFmtId="0" fontId="11" fillId="0" borderId="17" xfId="0" applyFont="1" applyBorder="1"/>
    <xf numFmtId="164" fontId="12" fillId="0" borderId="0" xfId="0" applyNumberFormat="1" applyFont="1"/>
    <xf numFmtId="0" fontId="11" fillId="0" borderId="21" xfId="0" applyFont="1" applyBorder="1" applyAlignment="1">
      <alignment horizontal="center"/>
    </xf>
    <xf numFmtId="0" fontId="11" fillId="0" borderId="22" xfId="0" applyFont="1" applyBorder="1"/>
    <xf numFmtId="14" fontId="4" fillId="0" borderId="0" xfId="0" applyNumberFormat="1" applyFont="1"/>
    <xf numFmtId="0" fontId="11" fillId="0" borderId="24" xfId="0" applyFont="1" applyBorder="1" applyAlignment="1">
      <alignment horizontal="center"/>
    </xf>
    <xf numFmtId="0" fontId="11" fillId="0" borderId="25" xfId="0" applyFont="1" applyBorder="1"/>
    <xf numFmtId="164" fontId="9" fillId="0" borderId="0" xfId="0" applyNumberFormat="1" applyFont="1"/>
    <xf numFmtId="164" fontId="4" fillId="0" borderId="0" xfId="0" applyNumberFormat="1" applyFont="1"/>
    <xf numFmtId="0" fontId="4" fillId="4" borderId="4" xfId="0" applyFont="1" applyFill="1" applyBorder="1"/>
    <xf numFmtId="0" fontId="4" fillId="5" borderId="4" xfId="0" applyFont="1" applyFill="1" applyBorder="1"/>
    <xf numFmtId="0" fontId="4" fillId="6" borderId="4" xfId="0" applyFont="1" applyFill="1" applyBorder="1"/>
    <xf numFmtId="10" fontId="4" fillId="0" borderId="0" xfId="0" applyNumberFormat="1" applyFont="1"/>
    <xf numFmtId="0" fontId="4" fillId="7" borderId="4" xfId="0" applyFont="1" applyFill="1" applyBorder="1"/>
    <xf numFmtId="0" fontId="0" fillId="0" borderId="4" xfId="0" applyBorder="1"/>
    <xf numFmtId="0" fontId="3" fillId="0" borderId="4" xfId="10"/>
    <xf numFmtId="0" fontId="11" fillId="0" borderId="23" xfId="0" applyFont="1" applyBorder="1"/>
    <xf numFmtId="0" fontId="11" fillId="0" borderId="26" xfId="0" applyFont="1" applyBorder="1"/>
    <xf numFmtId="2" fontId="2" fillId="0" borderId="4" xfId="43" applyNumberFormat="1" applyAlignment="1">
      <alignment wrapText="1" readingOrder="1"/>
    </xf>
    <xf numFmtId="2" fontId="9" fillId="0" borderId="0" xfId="0" applyNumberFormat="1" applyFont="1"/>
    <xf numFmtId="2" fontId="0" fillId="0" borderId="0" xfId="0" applyNumberFormat="1"/>
    <xf numFmtId="165" fontId="5" fillId="0" borderId="0" xfId="0" applyNumberFormat="1" applyFont="1"/>
    <xf numFmtId="10" fontId="0" fillId="0" borderId="0" xfId="0" applyNumberFormat="1"/>
    <xf numFmtId="14" fontId="0" fillId="0" borderId="0" xfId="0" applyNumberFormat="1"/>
    <xf numFmtId="0" fontId="11" fillId="0" borderId="4" xfId="0" applyFont="1" applyBorder="1" applyAlignment="1">
      <alignment horizontal="center"/>
    </xf>
    <xf numFmtId="0" fontId="11" fillId="0" borderId="4" xfId="0" applyFont="1" applyBorder="1"/>
    <xf numFmtId="0" fontId="11" fillId="39" borderId="18" xfId="0" applyFont="1" applyFill="1" applyBorder="1" applyAlignment="1">
      <alignment horizontal="center"/>
    </xf>
    <xf numFmtId="0" fontId="11" fillId="39" borderId="19" xfId="0" applyFont="1" applyFill="1" applyBorder="1"/>
    <xf numFmtId="0" fontId="11" fillId="39" borderId="20" xfId="0" applyFont="1" applyFill="1" applyBorder="1"/>
    <xf numFmtId="0" fontId="11" fillId="39" borderId="21" xfId="0" applyFont="1" applyFill="1" applyBorder="1" applyAlignment="1">
      <alignment horizontal="center"/>
    </xf>
    <xf numFmtId="0" fontId="11" fillId="39" borderId="22" xfId="0" applyFont="1" applyFill="1" applyBorder="1"/>
    <xf numFmtId="0" fontId="11" fillId="39" borderId="23" xfId="0" applyFont="1" applyFill="1" applyBorder="1"/>
    <xf numFmtId="0" fontId="11" fillId="39" borderId="25" xfId="0" applyFont="1" applyFill="1" applyBorder="1"/>
    <xf numFmtId="0" fontId="11" fillId="39" borderId="26" xfId="0" applyFont="1" applyFill="1" applyBorder="1"/>
    <xf numFmtId="0" fontId="29" fillId="3" borderId="14" xfId="0" applyFont="1" applyFill="1" applyBorder="1"/>
    <xf numFmtId="0" fontId="29" fillId="3" borderId="36" xfId="0" applyFont="1" applyFill="1" applyBorder="1"/>
    <xf numFmtId="0" fontId="31" fillId="0" borderId="0" xfId="0" applyFont="1" applyAlignment="1">
      <alignment wrapText="1"/>
    </xf>
    <xf numFmtId="0" fontId="32" fillId="0" borderId="0" xfId="0" applyFont="1"/>
    <xf numFmtId="0" fontId="29" fillId="3" borderId="4" xfId="0" applyFont="1" applyFill="1" applyBorder="1"/>
    <xf numFmtId="0" fontId="7" fillId="0" borderId="37" xfId="44" applyFont="1" applyBorder="1" applyAlignment="1">
      <alignment horizontal="right" wrapText="1"/>
    </xf>
  </cellXfs>
  <cellStyles count="59">
    <cellStyle name="20% - Акцент1 2" xfId="20" xr:uid="{00000000-0005-0000-0000-000000000000}"/>
    <cellStyle name="20% - Акцент1 2 2" xfId="47" xr:uid="{4412764B-1904-4007-A864-B9C476324E39}"/>
    <cellStyle name="20% - Акцент2 2" xfId="24" xr:uid="{00000000-0005-0000-0000-000001000000}"/>
    <cellStyle name="20% - Акцент2 2 2" xfId="49" xr:uid="{DEF910BF-5C4C-4065-86EE-3F13EF7E5DAC}"/>
    <cellStyle name="20% - Акцент3 2" xfId="28" xr:uid="{00000000-0005-0000-0000-000002000000}"/>
    <cellStyle name="20% - Акцент3 2 2" xfId="51" xr:uid="{EE0B68A5-8716-4E77-A2F3-47F14B0C6F1B}"/>
    <cellStyle name="20% - Акцент4 2" xfId="32" xr:uid="{00000000-0005-0000-0000-000003000000}"/>
    <cellStyle name="20% - Акцент4 2 2" xfId="53" xr:uid="{ED1A5771-D299-44BA-811D-C803120151F9}"/>
    <cellStyle name="20% - Акцент5 2" xfId="36" xr:uid="{00000000-0005-0000-0000-000004000000}"/>
    <cellStyle name="20% - Акцент5 2 2" xfId="55" xr:uid="{255D19CB-9EF7-4A9A-87BF-522231D55F97}"/>
    <cellStyle name="20% - Акцент6 2" xfId="40" xr:uid="{00000000-0005-0000-0000-000005000000}"/>
    <cellStyle name="20% - Акцент6 2 2" xfId="57" xr:uid="{E9BB040F-389B-49AA-90AE-604CE4F42214}"/>
    <cellStyle name="40% - Акцент1 2" xfId="21" xr:uid="{00000000-0005-0000-0000-000006000000}"/>
    <cellStyle name="40% - Акцент1 2 2" xfId="48" xr:uid="{330CA62E-362A-4CE4-B548-D8BD73E7BF2F}"/>
    <cellStyle name="40% - Акцент2 2" xfId="25" xr:uid="{00000000-0005-0000-0000-000007000000}"/>
    <cellStyle name="40% - Акцент2 2 2" xfId="50" xr:uid="{8FD228D1-44BC-4FB4-A9E7-1FBB388035EC}"/>
    <cellStyle name="40% - Акцент3 2" xfId="29" xr:uid="{00000000-0005-0000-0000-000008000000}"/>
    <cellStyle name="40% - Акцент3 2 2" xfId="52" xr:uid="{E8BC1EA1-71E8-45C8-891F-A857477EA88A}"/>
    <cellStyle name="40% - Акцент4 2" xfId="33" xr:uid="{00000000-0005-0000-0000-000009000000}"/>
    <cellStyle name="40% - Акцент4 2 2" xfId="54" xr:uid="{15131071-7907-483C-952C-E90B04487C7F}"/>
    <cellStyle name="40% - Акцент5 2" xfId="37" xr:uid="{00000000-0005-0000-0000-00000A000000}"/>
    <cellStyle name="40% - Акцент5 2 2" xfId="56" xr:uid="{63F80889-0500-4B37-8F07-AA5EECFE7D79}"/>
    <cellStyle name="40% - Акцент6 2" xfId="41" xr:uid="{00000000-0005-0000-0000-00000B000000}"/>
    <cellStyle name="40% - Акцент6 2 2" xfId="58" xr:uid="{65B035C2-380B-4747-A65C-2C55A2584C32}"/>
    <cellStyle name="60% - Акцент1 2" xfId="22" xr:uid="{00000000-0005-0000-0000-00000C000000}"/>
    <cellStyle name="60% - Акцент2 2" xfId="26" xr:uid="{00000000-0005-0000-0000-00000D000000}"/>
    <cellStyle name="60% - Акцент3 2" xfId="30" xr:uid="{00000000-0005-0000-0000-00000E000000}"/>
    <cellStyle name="60% - Акцент4 2" xfId="34" xr:uid="{00000000-0005-0000-0000-00000F000000}"/>
    <cellStyle name="60% - Акцент5 2" xfId="38" xr:uid="{00000000-0005-0000-0000-000010000000}"/>
    <cellStyle name="60% - Акцент6 2" xfId="42" xr:uid="{00000000-0005-0000-0000-000011000000}"/>
    <cellStyle name="Акцент1 2" xfId="19" xr:uid="{00000000-0005-0000-0000-000012000000}"/>
    <cellStyle name="Акцент2 2" xfId="23" xr:uid="{00000000-0005-0000-0000-000013000000}"/>
    <cellStyle name="Акцент3 2" xfId="27" xr:uid="{00000000-0005-0000-0000-000014000000}"/>
    <cellStyle name="Акцент4 2" xfId="31" xr:uid="{00000000-0005-0000-0000-000015000000}"/>
    <cellStyle name="Акцент5 2" xfId="35" xr:uid="{00000000-0005-0000-0000-000016000000}"/>
    <cellStyle name="Акцент6 2" xfId="39" xr:uid="{00000000-0005-0000-0000-000017000000}"/>
    <cellStyle name="Ввод " xfId="4" builtinId="20" customBuiltin="1"/>
    <cellStyle name="Вывод" xfId="5" builtinId="21" customBuiltin="1"/>
    <cellStyle name="Вычисление" xfId="6" builtinId="22" customBuiltin="1"/>
    <cellStyle name="Заголовок 1" xfId="1" builtinId="16" customBuiltin="1"/>
    <cellStyle name="Заголовок 2" xfId="2" builtinId="17" customBuiltin="1"/>
    <cellStyle name="Заголовок 3" xfId="3" builtinId="18" customBuiltin="1"/>
    <cellStyle name="Заголовок 4 2" xfId="12" xr:uid="{00000000-0005-0000-0000-00001E000000}"/>
    <cellStyle name="Итог" xfId="9" builtinId="25" customBuiltin="1"/>
    <cellStyle name="Контрольная ячейка" xfId="8" builtinId="23" customBuiltin="1"/>
    <cellStyle name="Название 2" xfId="11" xr:uid="{00000000-0005-0000-0000-000021000000}"/>
    <cellStyle name="Нейтральный 2" xfId="15" xr:uid="{00000000-0005-0000-0000-000022000000}"/>
    <cellStyle name="Обычный" xfId="0" builtinId="0"/>
    <cellStyle name="Обычный 2" xfId="10" xr:uid="{00000000-0005-0000-0000-000024000000}"/>
    <cellStyle name="Обычный 2 2" xfId="45" xr:uid="{3BAA5DC5-4F31-48CF-B0EA-6E5AD535F4FF}"/>
    <cellStyle name="Обычный 3" xfId="43" xr:uid="{E428F665-B80F-4484-BF56-F69C077D2E52}"/>
    <cellStyle name="Обычный 4" xfId="44" xr:uid="{26F53CF6-E523-4854-9198-FFD0E3DB9C9D}"/>
    <cellStyle name="Плохой 2" xfId="14" xr:uid="{00000000-0005-0000-0000-000025000000}"/>
    <cellStyle name="Пояснение 2" xfId="18" xr:uid="{00000000-0005-0000-0000-000026000000}"/>
    <cellStyle name="Примечание 2" xfId="17" xr:uid="{00000000-0005-0000-0000-000027000000}"/>
    <cellStyle name="Примечание 2 2" xfId="46" xr:uid="{346B085C-65F2-467E-94DF-53E06B18458A}"/>
    <cellStyle name="Связанная ячейка" xfId="7" builtinId="24" customBuiltin="1"/>
    <cellStyle name="Текст предупреждения 2" xfId="16" xr:uid="{00000000-0005-0000-0000-000029000000}"/>
    <cellStyle name="Хороший 2" xfId="13" xr:uid="{00000000-0005-0000-0000-00002A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0838809705748807"/>
          <c:y val="0.22453703703703703"/>
          <c:w val="0.83573201029196242"/>
          <c:h val="0.77314814814814814"/>
        </c:manualLayout>
      </c:layout>
      <c:pie3DChart>
        <c:varyColors val="1"/>
        <c:ser>
          <c:idx val="0"/>
          <c:order val="0"/>
          <c:tx>
            <c:strRef>
              <c:f>Markowiz!$B$2:$L$2</c:f>
              <c:strCache>
                <c:ptCount val="11"/>
                <c:pt idx="0">
                  <c:v>BR-12.23 [FORTS]</c:v>
                </c:pt>
                <c:pt idx="1">
                  <c:v>GAZR-12.23 [FORTS]</c:v>
                </c:pt>
                <c:pt idx="2">
                  <c:v>GMKN-12.23 [FORTS]</c:v>
                </c:pt>
                <c:pt idx="3">
                  <c:v>GOLD-12.23 [FORTS]</c:v>
                </c:pt>
                <c:pt idx="4">
                  <c:v>LKOH-12.23 [FORTS]</c:v>
                </c:pt>
                <c:pt idx="5">
                  <c:v>NG-11.23 [FORTS]</c:v>
                </c:pt>
                <c:pt idx="6">
                  <c:v>PLZL-12.23 [FORTS]</c:v>
                </c:pt>
                <c:pt idx="7">
                  <c:v>RTS-12.23 [FORTS]</c:v>
                </c:pt>
                <c:pt idx="8">
                  <c:v>SBRF-12.23 [FORTS]</c:v>
                </c:pt>
                <c:pt idx="9">
                  <c:v>Si-12.23 [FORTS]</c:v>
                </c:pt>
                <c:pt idx="10">
                  <c:v>CNY-12.23 [FORTS]</c:v>
                </c:pt>
              </c:strCache>
            </c:strRef>
          </c:tx>
          <c:dPt>
            <c:idx val="0"/>
            <c:bubble3D val="0"/>
            <c:spPr>
              <a:solidFill>
                <a:srgbClr val="436EA1"/>
              </a:solidFill>
            </c:spPr>
            <c:extLst>
              <c:ext xmlns:c16="http://schemas.microsoft.com/office/drawing/2014/chart" uri="{C3380CC4-5D6E-409C-BE32-E72D297353CC}">
                <c16:uniqueId val="{00000001-48D3-4154-A9FF-BDE6C1AEAFF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053BF125-5F8B-4D15-81D1-C8D4E85F0BE0}" type="CELLRANGE">
                      <a:rPr lang="ru-RU"/>
                      <a:pPr/>
                      <a:t>[ДИАПАЗОН ЯЧЕЕК]</a:t>
                    </a:fld>
                    <a:r>
                      <a:rPr lang="ru-RU" baseline="0"/>
                      <a:t>, </a:t>
                    </a:r>
                    <a:fld id="{0AA32C13-9CAA-4059-8C2C-E34FC39D9CC0}" type="VALUE">
                      <a:rPr lang="ru-RU" baseline="0"/>
                      <a:pPr/>
                      <a:t>[ЗНАЧЕНИЕ]</a:t>
                    </a:fld>
                    <a:endParaRPr lang="ru-RU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8D3-4154-A9FF-BDE6C1AEAFF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5D93E78-21EA-40A9-A195-5568918C7CFF}" type="CELLRANGE">
                      <a:rPr lang="ru-RU"/>
                      <a:pPr/>
                      <a:t>[ДИАПАЗОН ЯЧЕЕК]</a:t>
                    </a:fld>
                    <a:r>
                      <a:rPr lang="ru-RU" baseline="0"/>
                      <a:t>, </a:t>
                    </a:r>
                    <a:fld id="{3CE2483C-5105-4E93-B483-9F7760F0AAD0}" type="VALUE">
                      <a:rPr lang="ru-RU" baseline="0"/>
                      <a:pPr/>
                      <a:t>[ЗНАЧЕНИЕ]</a:t>
                    </a:fld>
                    <a:endParaRPr lang="ru-RU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D989-4039-B361-366A0538E8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1DCAE25-D901-4810-97F2-9724A23BD2CB}" type="CELLRANGE">
                      <a:rPr lang="ru-RU"/>
                      <a:pPr/>
                      <a:t>[ДИАПАЗОН ЯЧЕЕК]</a:t>
                    </a:fld>
                    <a:r>
                      <a:rPr lang="ru-RU" baseline="0"/>
                      <a:t>, </a:t>
                    </a:r>
                    <a:fld id="{5CEC29D4-D6F9-4347-BC9A-D79FC3E20A42}" type="VALUE">
                      <a:rPr lang="ru-RU" baseline="0"/>
                      <a:pPr/>
                      <a:t>[ЗНАЧЕНИЕ]</a:t>
                    </a:fld>
                    <a:endParaRPr lang="ru-RU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989-4039-B361-366A0538E8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DD66FE8-890C-48DB-80D4-E9CCBD93E323}" type="CELLRANGE">
                      <a:rPr lang="ru-RU"/>
                      <a:pPr/>
                      <a:t>[ДИАПАЗОН ЯЧЕЕК]</a:t>
                    </a:fld>
                    <a:r>
                      <a:rPr lang="ru-RU" baseline="0"/>
                      <a:t>, </a:t>
                    </a:r>
                    <a:fld id="{E47F07ED-122D-4966-BFC1-9433A5CE1D16}" type="VALUE">
                      <a:rPr lang="ru-RU" baseline="0"/>
                      <a:pPr/>
                      <a:t>[ЗНАЧЕНИЕ]</a:t>
                    </a:fld>
                    <a:endParaRPr lang="ru-RU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D989-4039-B361-366A0538E8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B0A1A7F-CFA0-4DDA-B202-3D1CFB79BD76}" type="CELLRANGE">
                      <a:rPr lang="ru-RU"/>
                      <a:pPr/>
                      <a:t>[ДИАПАЗОН ЯЧЕЕК]</a:t>
                    </a:fld>
                    <a:r>
                      <a:rPr lang="ru-RU" baseline="0"/>
                      <a:t>, </a:t>
                    </a:r>
                    <a:fld id="{6BC04C21-F6FF-4CB1-90CD-34EBAF6FF8C2}" type="VALUE">
                      <a:rPr lang="ru-RU" baseline="0"/>
                      <a:pPr/>
                      <a:t>[ЗНАЧЕНИЕ]</a:t>
                    </a:fld>
                    <a:endParaRPr lang="ru-RU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989-4039-B361-366A0538E8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E0328BB7-0D88-4FCD-8B2D-74929C1CE27E}" type="CELLRANGE">
                      <a:rPr lang="ru-RU"/>
                      <a:pPr/>
                      <a:t>[ДИАПАЗОН ЯЧЕЕК]</a:t>
                    </a:fld>
                    <a:r>
                      <a:rPr lang="ru-RU" baseline="0"/>
                      <a:t>, </a:t>
                    </a:r>
                    <a:fld id="{9D23F390-1006-438D-81D6-F3699AC9121F}" type="VALUE">
                      <a:rPr lang="ru-RU" baseline="0"/>
                      <a:pPr/>
                      <a:t>[ЗНАЧЕНИЕ]</a:t>
                    </a:fld>
                    <a:endParaRPr lang="ru-RU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D989-4039-B361-366A0538E8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A54FBEB-CB78-464D-AD1E-90EDFAE218D0}" type="CELLRANGE">
                      <a:rPr lang="ru-RU"/>
                      <a:pPr/>
                      <a:t>[ДИАПАЗОН ЯЧЕЕК]</a:t>
                    </a:fld>
                    <a:r>
                      <a:rPr lang="ru-RU" baseline="0"/>
                      <a:t>, </a:t>
                    </a:r>
                    <a:fld id="{584BD96C-5BE3-41F1-AD96-5B517302F27A}" type="VALUE">
                      <a:rPr lang="ru-RU" baseline="0"/>
                      <a:pPr/>
                      <a:t>[ЗНАЧЕНИЕ]</a:t>
                    </a:fld>
                    <a:endParaRPr lang="ru-RU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989-4039-B361-366A0538E8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B7D6DDD-5226-4503-AE02-D6EB93D18ACD}" type="CELLRANGE">
                      <a:rPr lang="ru-RU"/>
                      <a:pPr/>
                      <a:t>[ДИАПАЗОН ЯЧЕЕК]</a:t>
                    </a:fld>
                    <a:r>
                      <a:rPr lang="ru-RU" baseline="0"/>
                      <a:t>, </a:t>
                    </a:r>
                    <a:fld id="{3586550D-CCE8-4F2D-875B-8932775CE711}" type="VALUE">
                      <a:rPr lang="ru-RU" baseline="0"/>
                      <a:pPr/>
                      <a:t>[ЗНАЧЕНИЕ]</a:t>
                    </a:fld>
                    <a:endParaRPr lang="ru-RU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D989-4039-B361-366A0538E8B5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6C3F9E3-4B70-4994-BA53-4B39A72074C3}" type="CELLRANGE">
                      <a:rPr lang="ru-RU"/>
                      <a:pPr/>
                      <a:t>[ДИАПАЗОН ЯЧЕЕК]</a:t>
                    </a:fld>
                    <a:r>
                      <a:rPr lang="ru-RU" baseline="0"/>
                      <a:t>, </a:t>
                    </a:r>
                    <a:fld id="{E1EBFF95-50A7-4B22-95C6-49BD9A5FC87B}" type="VALUE">
                      <a:rPr lang="ru-RU" baseline="0"/>
                      <a:pPr/>
                      <a:t>[ЗНАЧЕНИЕ]</a:t>
                    </a:fld>
                    <a:endParaRPr lang="ru-RU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D989-4039-B361-366A0538E8B5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855CF014-9BA8-49D6-9935-AE73F5AFC830}" type="CELLRANGE">
                      <a:rPr lang="ru-RU"/>
                      <a:pPr/>
                      <a:t>[ДИАПАЗОН ЯЧЕЕК]</a:t>
                    </a:fld>
                    <a:r>
                      <a:rPr lang="ru-RU" baseline="0"/>
                      <a:t>, </a:t>
                    </a:r>
                    <a:fld id="{387AB3C2-4C79-48B9-97CD-0899C99AC6E5}" type="VALUE">
                      <a:rPr lang="ru-RU" baseline="0"/>
                      <a:pPr/>
                      <a:t>[ЗНАЧЕНИЕ]</a:t>
                    </a:fld>
                    <a:endParaRPr lang="ru-RU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D989-4039-B361-366A0538E8B5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EE1C5CB-CAB3-44FF-A3DD-2881A4DADA20}" type="CELLRANGE">
                      <a:rPr lang="ru-RU"/>
                      <a:pPr/>
                      <a:t>[ДИАПАЗОН ЯЧЕЕК]</a:t>
                    </a:fld>
                    <a:r>
                      <a:rPr lang="ru-RU" baseline="0"/>
                      <a:t>, </a:t>
                    </a:r>
                    <a:fld id="{6DABF8F6-BF3B-4505-A110-A0E975399557}" type="VALUE">
                      <a:rPr lang="ru-RU" baseline="0"/>
                      <a:pPr/>
                      <a:t>[ЗНАЧЕНИЕ]</a:t>
                    </a:fld>
                    <a:endParaRPr lang="ru-RU" baseline="0"/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D989-4039-B361-366A0538E8B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Markowiz!$B$2:$L$2</c:f>
              <c:strCache>
                <c:ptCount val="11"/>
                <c:pt idx="0">
                  <c:v>BR-12.23 [FORTS]</c:v>
                </c:pt>
                <c:pt idx="1">
                  <c:v>GAZR-12.23 [FORTS]</c:v>
                </c:pt>
                <c:pt idx="2">
                  <c:v>GMKN-12.23 [FORTS]</c:v>
                </c:pt>
                <c:pt idx="3">
                  <c:v>GOLD-12.23 [FORTS]</c:v>
                </c:pt>
                <c:pt idx="4">
                  <c:v>LKOH-12.23 [FORTS]</c:v>
                </c:pt>
                <c:pt idx="5">
                  <c:v>NG-11.23 [FORTS]</c:v>
                </c:pt>
                <c:pt idx="6">
                  <c:v>PLZL-12.23 [FORTS]</c:v>
                </c:pt>
                <c:pt idx="7">
                  <c:v>RTS-12.23 [FORTS]</c:v>
                </c:pt>
                <c:pt idx="8">
                  <c:v>SBRF-12.23 [FORTS]</c:v>
                </c:pt>
                <c:pt idx="9">
                  <c:v>Si-12.23 [FORTS]</c:v>
                </c:pt>
                <c:pt idx="10">
                  <c:v>CNY-12.23 [FORTS]</c:v>
                </c:pt>
              </c:strCache>
            </c:strRef>
          </c:cat>
          <c:val>
            <c:numRef>
              <c:f>Markowiz!$B$4:$L$4</c:f>
              <c:numCache>
                <c:formatCode>0.00%</c:formatCode>
                <c:ptCount val="11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0.05</c:v>
                </c:pt>
                <c:pt idx="10">
                  <c:v>0.05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Markowiz!$B$2:$L$2</c15:f>
                <c15:dlblRangeCache>
                  <c:ptCount val="11"/>
                  <c:pt idx="0">
                    <c:v>BR-12.23 [FORTS]</c:v>
                  </c:pt>
                  <c:pt idx="1">
                    <c:v>GAZR-12.23 [FORTS]</c:v>
                  </c:pt>
                  <c:pt idx="2">
                    <c:v>GMKN-12.23 [FORTS]</c:v>
                  </c:pt>
                  <c:pt idx="3">
                    <c:v>GOLD-12.23 [FORTS]</c:v>
                  </c:pt>
                  <c:pt idx="4">
                    <c:v>LKOH-12.23 [FORTS]</c:v>
                  </c:pt>
                  <c:pt idx="5">
                    <c:v>NG-11.23 [FORTS]</c:v>
                  </c:pt>
                  <c:pt idx="6">
                    <c:v>PLZL-12.23 [FORTS]</c:v>
                  </c:pt>
                  <c:pt idx="7">
                    <c:v>RTS-12.23 [FORTS]</c:v>
                  </c:pt>
                  <c:pt idx="8">
                    <c:v>SBRF-12.23 [FORTS]</c:v>
                  </c:pt>
                  <c:pt idx="9">
                    <c:v>Si-12.23 [FORTS]</c:v>
                  </c:pt>
                  <c:pt idx="10">
                    <c:v>CNY-12.23 [FORTS]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48D3-4154-A9FF-BDE6C1AEA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solidFill>
          <a:srgbClr val="FFFFFF"/>
        </a:solidFill>
      </c:spPr>
    </c:plotArea>
    <c:plotVisOnly val="1"/>
    <c:dispBlanksAs val="zero"/>
    <c:showDLblsOverMax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201386</xdr:colOff>
          <xdr:row>1</xdr:row>
          <xdr:rowOff>114300</xdr:rowOff>
        </xdr:from>
        <xdr:to>
          <xdr:col>6</xdr:col>
          <xdr:colOff>65314</xdr:colOff>
          <xdr:row>3</xdr:row>
          <xdr:rowOff>141514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mo"/>
                </a:rPr>
                <a:t>Real Time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428625</xdr:colOff>
      <xdr:row>17</xdr:row>
      <xdr:rowOff>127000</xdr:rowOff>
    </xdr:from>
    <xdr:ext cx="6772275" cy="27432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W1006"/>
  <sheetViews>
    <sheetView tabSelected="1" workbookViewId="0">
      <selection activeCell="E2" sqref="E2"/>
    </sheetView>
  </sheetViews>
  <sheetFormatPr defaultColWidth="14.4609375" defaultRowHeight="15" customHeight="1"/>
  <cols>
    <col min="1" max="1" width="3.84375" customWidth="1"/>
    <col min="2" max="2" width="46" customWidth="1"/>
    <col min="3" max="3" width="14.765625" bestFit="1" customWidth="1"/>
    <col min="4" max="4" width="17" bestFit="1" customWidth="1"/>
    <col min="5" max="5" width="17.3046875" bestFit="1" customWidth="1"/>
    <col min="6" max="6" width="17.15234375" bestFit="1" customWidth="1"/>
    <col min="7" max="7" width="17" bestFit="1" customWidth="1"/>
    <col min="8" max="8" width="14.765625" bestFit="1" customWidth="1"/>
    <col min="9" max="9" width="16.4609375" bestFit="1" customWidth="1"/>
    <col min="10" max="10" width="15.69140625" bestFit="1" customWidth="1"/>
    <col min="11" max="11" width="16.921875" bestFit="1" customWidth="1"/>
    <col min="12" max="12" width="13.921875" bestFit="1" customWidth="1"/>
    <col min="13" max="13" width="15.69140625" bestFit="1" customWidth="1"/>
    <col min="14" max="14" width="14.4609375" style="41" customWidth="1"/>
    <col min="15" max="15" width="14.4609375" customWidth="1"/>
    <col min="16" max="27" width="8.53515625" customWidth="1"/>
  </cols>
  <sheetData>
    <row r="1" spans="1:23" ht="12.75" customHeight="1" thickTop="1" thickBot="1">
      <c r="A1" s="1"/>
      <c r="B1" s="5" t="s">
        <v>1</v>
      </c>
      <c r="C1" s="7" t="str">
        <f>Close!B1</f>
        <v>BR-12.23 [FORTS]</v>
      </c>
      <c r="D1" s="7" t="str">
        <f>Close!C1</f>
        <v>GAZR-12.23 [FORTS]</v>
      </c>
      <c r="E1" s="7" t="str">
        <f>Close!D1</f>
        <v>GMKN-12.23 [FORTS]</v>
      </c>
      <c r="F1" s="7" t="str">
        <f>Close!E1</f>
        <v>GOLD-12.23 [FORTS]</v>
      </c>
      <c r="G1" s="7" t="str">
        <f>Close!F1</f>
        <v>LKOH-12.23 [FORTS]</v>
      </c>
      <c r="H1" s="7" t="str">
        <f>Close!G1</f>
        <v>NG-11.23 [FORTS]</v>
      </c>
      <c r="I1" s="7" t="str">
        <f>Close!H1</f>
        <v>PLZL-12.23 [FORTS]</v>
      </c>
      <c r="J1" s="7" t="str">
        <f>Close!I1</f>
        <v>RTS-12.23 [FORTS]</v>
      </c>
      <c r="K1" s="7" t="str">
        <f>Close!J1</f>
        <v>SBRF-12.23 [FORTS]</v>
      </c>
      <c r="L1" s="7" t="str">
        <f>Close!K1</f>
        <v>Si-12.23 [FORTS]</v>
      </c>
      <c r="M1" s="7" t="str">
        <f>Close!L1</f>
        <v>CNY-12.23 [FORTS]</v>
      </c>
      <c r="N1" s="40" t="s">
        <v>3</v>
      </c>
      <c r="P1" s="10" t="s">
        <v>4</v>
      </c>
      <c r="Q1" s="9" t="s">
        <v>5</v>
      </c>
      <c r="R1" s="11" t="s">
        <v>6</v>
      </c>
      <c r="S1" s="11" t="s">
        <v>7</v>
      </c>
      <c r="T1" s="11"/>
      <c r="U1" s="11"/>
      <c r="V1" s="11"/>
      <c r="W1" s="11"/>
    </row>
    <row r="2" spans="1:23" ht="12.75" customHeight="1" thickTop="1" thickBot="1">
      <c r="A2" s="56">
        <v>1</v>
      </c>
      <c r="B2" s="57" t="s">
        <v>40</v>
      </c>
      <c r="C2" s="60">
        <v>1</v>
      </c>
      <c r="D2" s="60">
        <v>0</v>
      </c>
      <c r="E2" s="60">
        <v>0</v>
      </c>
      <c r="F2" s="60">
        <v>0</v>
      </c>
      <c r="G2" s="60">
        <v>0</v>
      </c>
      <c r="H2" s="60">
        <v>0</v>
      </c>
      <c r="I2" s="60">
        <v>0</v>
      </c>
      <c r="J2" s="60">
        <v>0</v>
      </c>
      <c r="K2" s="60">
        <v>0</v>
      </c>
      <c r="L2" s="60">
        <v>0</v>
      </c>
      <c r="M2" s="60">
        <v>0</v>
      </c>
      <c r="N2" s="39" cm="1">
        <f t="array" ref="N2">SUM(ABS(C2:M2))</f>
        <v>1</v>
      </c>
      <c r="O2">
        <f t="array" ref="O2">Abssum(C2:M2)</f>
        <v>1</v>
      </c>
      <c r="P2" cm="1">
        <f t="array" ref="P2">StudPL(Results!$B$18:$L$18,Results!$B$19:$L$19,C2:M2)</f>
        <v>100</v>
      </c>
      <c r="Q2">
        <f t="array" ref="Q2:S2">DataStatistics(Close!$B$2:$L$48,1000000,C2:M2)</f>
        <v>18992.641278445564</v>
      </c>
      <c r="R2">
        <v>-2783.3374788969186</v>
      </c>
      <c r="S2">
        <v>34023.452371136336</v>
      </c>
    </row>
    <row r="3" spans="1:23" ht="12.75" customHeight="1" thickBot="1">
      <c r="A3" s="55">
        <v>2</v>
      </c>
      <c r="B3" s="57" t="s">
        <v>41</v>
      </c>
      <c r="C3" s="60">
        <v>0</v>
      </c>
      <c r="D3" s="60">
        <v>1</v>
      </c>
      <c r="E3" s="60">
        <v>0</v>
      </c>
      <c r="F3" s="60">
        <v>0</v>
      </c>
      <c r="G3" s="60">
        <v>0</v>
      </c>
      <c r="H3" s="60">
        <v>0</v>
      </c>
      <c r="I3" s="60">
        <v>0</v>
      </c>
      <c r="J3" s="60">
        <v>0</v>
      </c>
      <c r="K3" s="60">
        <v>0</v>
      </c>
      <c r="L3" s="60">
        <v>0</v>
      </c>
      <c r="M3" s="60">
        <v>0</v>
      </c>
      <c r="N3" s="39" cm="1">
        <f t="array" ref="N3">SUM(ABS(C3:M3))</f>
        <v>1</v>
      </c>
      <c r="O3">
        <f t="array" ref="O3">Abssum(C3:M3)</f>
        <v>1</v>
      </c>
      <c r="P3" cm="1">
        <f t="array" ref="P3">StudPL(Results!$B$18:$L$18,Results!$B$19:$L$19,C3:M3)</f>
        <v>100</v>
      </c>
      <c r="Q3">
        <f t="array" ref="Q3:S3">DataStatistics(Close!$B$2:$L$48,1000000,C3:M3)</f>
        <v>8302.9818288690112</v>
      </c>
      <c r="R3">
        <v>-1278.1854527814205</v>
      </c>
      <c r="S3">
        <v>14935.375228508776</v>
      </c>
    </row>
    <row r="4" spans="1:23" ht="12.75" customHeight="1" thickBot="1">
      <c r="A4" s="55">
        <v>3</v>
      </c>
      <c r="B4" s="57" t="s">
        <v>42</v>
      </c>
      <c r="C4" s="60">
        <v>0</v>
      </c>
      <c r="D4" s="60">
        <v>0</v>
      </c>
      <c r="E4" s="60">
        <v>1</v>
      </c>
      <c r="F4" s="60">
        <v>0</v>
      </c>
      <c r="G4" s="60">
        <v>0</v>
      </c>
      <c r="H4" s="60">
        <v>0</v>
      </c>
      <c r="I4" s="60">
        <v>0</v>
      </c>
      <c r="J4" s="60">
        <v>0</v>
      </c>
      <c r="K4" s="60">
        <v>0</v>
      </c>
      <c r="L4" s="60">
        <v>0</v>
      </c>
      <c r="M4" s="60">
        <v>0</v>
      </c>
      <c r="N4" s="39" cm="1">
        <f t="array" ref="N4">SUM(ABS(C4:M4))</f>
        <v>1</v>
      </c>
      <c r="O4">
        <f>SUM(C4:M4)</f>
        <v>1</v>
      </c>
      <c r="P4" cm="1">
        <f t="array" ref="P4">StudPL(Results!$B$18:$L$18,Results!$B$19:$L$19,C4:M4)</f>
        <v>99.931190687806421</v>
      </c>
      <c r="Q4">
        <f t="array" ref="Q4:S4">DataStatistics(Close!$B$2:$L$48,1000000,C4:M4)</f>
        <v>8787.1772208974216</v>
      </c>
      <c r="R4">
        <v>1103.6176888421626</v>
      </c>
      <c r="S4">
        <v>13350.002633616312</v>
      </c>
    </row>
    <row r="5" spans="1:23" ht="12.75" customHeight="1" thickBot="1">
      <c r="A5" s="55">
        <v>4</v>
      </c>
      <c r="B5" s="57" t="s">
        <v>43</v>
      </c>
      <c r="C5" s="60">
        <v>0</v>
      </c>
      <c r="D5" s="60">
        <v>0</v>
      </c>
      <c r="E5" s="60">
        <v>0</v>
      </c>
      <c r="F5" s="60">
        <v>1</v>
      </c>
      <c r="G5" s="60">
        <v>0</v>
      </c>
      <c r="H5" s="60">
        <v>0</v>
      </c>
      <c r="I5" s="60">
        <v>0</v>
      </c>
      <c r="J5" s="60">
        <v>0</v>
      </c>
      <c r="K5" s="60">
        <v>0</v>
      </c>
      <c r="L5" s="60">
        <v>0</v>
      </c>
      <c r="M5" s="60">
        <v>0</v>
      </c>
      <c r="N5" s="39" cm="1">
        <f t="array" ref="N5">SUM(ABS(C5:M5))</f>
        <v>1</v>
      </c>
      <c r="O5">
        <f t="array" ref="O5">Abssum(C5:M5)</f>
        <v>1</v>
      </c>
      <c r="P5" cm="1">
        <f t="array" ref="P5">StudPL(Results!$B$18:$L$18,Results!$B$19:$L$19,C5:M5)</f>
        <v>100</v>
      </c>
      <c r="Q5">
        <f t="array" ref="Q5:S5">DataStatistics(Close!$B$2:$L$48,1000000,C5:M5)</f>
        <v>7591.055860593332</v>
      </c>
      <c r="R5">
        <v>80.665578819998402</v>
      </c>
      <c r="S5">
        <v>12405.510185868168</v>
      </c>
    </row>
    <row r="6" spans="1:23" ht="12.75" customHeight="1" thickBot="1">
      <c r="A6" s="56">
        <v>5</v>
      </c>
      <c r="B6" s="57" t="s">
        <v>44</v>
      </c>
      <c r="C6" s="60">
        <v>0</v>
      </c>
      <c r="D6" s="60">
        <v>0</v>
      </c>
      <c r="E6" s="60">
        <v>0</v>
      </c>
      <c r="F6" s="60">
        <v>0</v>
      </c>
      <c r="G6" s="60">
        <v>1</v>
      </c>
      <c r="H6" s="60">
        <v>0</v>
      </c>
      <c r="I6" s="60">
        <v>0</v>
      </c>
      <c r="J6" s="60">
        <v>0</v>
      </c>
      <c r="K6" s="60">
        <v>0</v>
      </c>
      <c r="L6" s="60">
        <v>0</v>
      </c>
      <c r="M6" s="60">
        <v>0</v>
      </c>
      <c r="N6" s="39" cm="1">
        <f t="array" ref="N6">SUM(ABS(C6:M6))</f>
        <v>1</v>
      </c>
      <c r="O6">
        <f t="array" ref="O6">Abssum(C6:M6)</f>
        <v>1</v>
      </c>
      <c r="P6" cm="1">
        <f t="array" ref="P6">StudPL(Results!$B$18:$L$18,Results!$B$19:$L$19,C6:M6)</f>
        <v>100.02966994000883</v>
      </c>
      <c r="Q6">
        <f t="array" ref="Q6:S6">DataStatistics(Close!$B$2:$L$48,1000000,C6:M6)</f>
        <v>11651.071226986034</v>
      </c>
      <c r="R6">
        <v>756.03979719030235</v>
      </c>
      <c r="S6">
        <v>18408.266968387605</v>
      </c>
    </row>
    <row r="7" spans="1:23" ht="12.75" customHeight="1" thickBot="1">
      <c r="A7" s="55">
        <v>6</v>
      </c>
      <c r="B7" s="57" t="s">
        <v>45</v>
      </c>
      <c r="C7" s="60">
        <v>0</v>
      </c>
      <c r="D7" s="60">
        <v>0</v>
      </c>
      <c r="E7" s="60">
        <v>0</v>
      </c>
      <c r="F7" s="60">
        <v>0</v>
      </c>
      <c r="G7" s="60">
        <v>0</v>
      </c>
      <c r="H7" s="60">
        <v>1</v>
      </c>
      <c r="I7" s="60">
        <v>0</v>
      </c>
      <c r="J7" s="60">
        <v>0</v>
      </c>
      <c r="K7" s="60">
        <v>0</v>
      </c>
      <c r="L7" s="60">
        <v>0</v>
      </c>
      <c r="M7" s="60">
        <v>0</v>
      </c>
      <c r="N7" s="39" cm="1">
        <f t="array" ref="N7">SUM(ABS(C7:M7))</f>
        <v>1</v>
      </c>
      <c r="O7">
        <f t="array" ref="O7">Abssum(C7:M7)</f>
        <v>1</v>
      </c>
      <c r="P7" cm="1">
        <f t="array" ref="P7">StudPL(Results!$B$18:$L$18,Results!$B$19:$L$19,C7:M7)</f>
        <v>100</v>
      </c>
      <c r="Q7">
        <f t="array" ref="Q7:S7">DataStatistics(Close!$B$2:$L$48,1000000,C7:M7)</f>
        <v>24367.953425991291</v>
      </c>
      <c r="R7">
        <v>-2804.2927430951449</v>
      </c>
      <c r="S7">
        <v>42886.009317221455</v>
      </c>
    </row>
    <row r="8" spans="1:23" ht="12.75" customHeight="1" thickBot="1">
      <c r="A8" s="55">
        <v>7</v>
      </c>
      <c r="B8" s="57" t="s">
        <v>46</v>
      </c>
      <c r="C8" s="60">
        <v>0</v>
      </c>
      <c r="D8" s="60">
        <v>0</v>
      </c>
      <c r="E8" s="60">
        <v>0</v>
      </c>
      <c r="F8" s="60">
        <v>0</v>
      </c>
      <c r="G8" s="60">
        <v>0</v>
      </c>
      <c r="H8" s="60">
        <v>0</v>
      </c>
      <c r="I8" s="60">
        <v>1</v>
      </c>
      <c r="J8" s="60">
        <v>0</v>
      </c>
      <c r="K8" s="60">
        <v>0</v>
      </c>
      <c r="L8" s="60">
        <v>0</v>
      </c>
      <c r="M8" s="60">
        <v>0</v>
      </c>
      <c r="N8" s="39" cm="1">
        <f t="array" ref="N8">SUM(ABS(C8:M8))</f>
        <v>1</v>
      </c>
      <c r="O8">
        <f t="array" ref="O8">Abssum(C8:M8)</f>
        <v>1</v>
      </c>
      <c r="P8" cm="1">
        <f t="array" ref="P8">StudPL(Results!$B$18:$L$18,Results!$B$19:$L$19,C8:M8)</f>
        <v>100</v>
      </c>
      <c r="Q8">
        <f t="array" ref="Q8:S8">DataStatistics(Close!$B$2:$L$48,1000000,C8:M8)</f>
        <v>10509.46225084966</v>
      </c>
      <c r="R8">
        <v>-1175.1363149740876</v>
      </c>
      <c r="S8">
        <v>18461.663415593724</v>
      </c>
    </row>
    <row r="9" spans="1:23" ht="12.75" customHeight="1" thickBot="1">
      <c r="A9" s="55">
        <v>8</v>
      </c>
      <c r="B9" s="57" t="s">
        <v>47</v>
      </c>
      <c r="C9" s="60">
        <v>0</v>
      </c>
      <c r="D9" s="60">
        <v>0</v>
      </c>
      <c r="E9" s="60">
        <v>0</v>
      </c>
      <c r="F9" s="60">
        <v>0</v>
      </c>
      <c r="G9" s="60">
        <v>0</v>
      </c>
      <c r="H9" s="60">
        <v>0</v>
      </c>
      <c r="I9" s="60">
        <v>0</v>
      </c>
      <c r="J9" s="60">
        <v>1</v>
      </c>
      <c r="K9" s="60">
        <v>0</v>
      </c>
      <c r="L9" s="60">
        <v>0</v>
      </c>
      <c r="M9" s="60">
        <v>0</v>
      </c>
      <c r="N9" s="39" cm="1">
        <f t="array" ref="N9">SUM(ABS(C9:M9))</f>
        <v>1</v>
      </c>
      <c r="O9">
        <f t="array" ref="O9">Abssum(C9:M9)</f>
        <v>1</v>
      </c>
      <c r="P9" cm="1">
        <f t="array" ref="P9">StudPL(Results!$B$18:$L$18,Results!$B$19:$L$19,C9:M9)</f>
        <v>100</v>
      </c>
      <c r="Q9">
        <f t="array" ref="Q9:S9">DataStatistics(Close!$B$2:$L$48,1000000,C9:M9)</f>
        <v>11122.247614143896</v>
      </c>
      <c r="R9">
        <v>1939.4402667948859</v>
      </c>
      <c r="S9">
        <v>16355.029061182053</v>
      </c>
    </row>
    <row r="10" spans="1:23" ht="12.75" customHeight="1" thickBot="1">
      <c r="A10" s="56">
        <v>9</v>
      </c>
      <c r="B10" s="57" t="s">
        <v>74</v>
      </c>
      <c r="C10" s="60">
        <v>0</v>
      </c>
      <c r="D10" s="60">
        <v>0</v>
      </c>
      <c r="E10" s="60">
        <v>0</v>
      </c>
      <c r="F10" s="60">
        <v>0</v>
      </c>
      <c r="G10" s="60">
        <v>0</v>
      </c>
      <c r="H10" s="60">
        <v>0</v>
      </c>
      <c r="I10" s="60">
        <v>0</v>
      </c>
      <c r="J10" s="60">
        <v>0</v>
      </c>
      <c r="K10" s="60">
        <v>1</v>
      </c>
      <c r="L10" s="60">
        <v>0</v>
      </c>
      <c r="M10" s="60">
        <v>0</v>
      </c>
      <c r="N10" s="39" cm="1">
        <f t="array" ref="N10">SUM(ABS(C10:M10))</f>
        <v>1</v>
      </c>
      <c r="O10">
        <f t="array" ref="O10">Abssum(C10:M10)</f>
        <v>1</v>
      </c>
      <c r="P10" cm="1">
        <f t="array" ref="P10">StudPL(Results!$B$18:$L$18,Results!$B$19:$L$19,C10:M10)</f>
        <v>100</v>
      </c>
      <c r="Q10">
        <f t="array" ref="Q10:S10">DataStatistics(Close!$B$2:$L$48,1000000,C10:M10)</f>
        <v>10475.907047118939</v>
      </c>
      <c r="R10">
        <v>1452.5318825556064</v>
      </c>
      <c r="S10">
        <v>15778.801819504461</v>
      </c>
    </row>
    <row r="11" spans="1:23" ht="12.75" customHeight="1" thickBot="1">
      <c r="A11" s="55">
        <v>10</v>
      </c>
      <c r="B11" s="57" t="s">
        <v>48</v>
      </c>
      <c r="C11" s="60">
        <v>0</v>
      </c>
      <c r="D11" s="60">
        <v>0</v>
      </c>
      <c r="E11" s="60">
        <v>0</v>
      </c>
      <c r="F11" s="60">
        <v>0</v>
      </c>
      <c r="G11" s="60">
        <v>0</v>
      </c>
      <c r="H11" s="60">
        <v>0</v>
      </c>
      <c r="I11" s="60">
        <v>0</v>
      </c>
      <c r="J11" s="60">
        <v>0</v>
      </c>
      <c r="K11" s="60">
        <v>0</v>
      </c>
      <c r="L11" s="60">
        <v>1</v>
      </c>
      <c r="M11" s="60">
        <v>0</v>
      </c>
      <c r="N11" s="39" cm="1">
        <f t="array" ref="N11">SUM(ABS(C11:M11))</f>
        <v>1</v>
      </c>
      <c r="O11">
        <f t="array" ref="O11">Abssum(C11:M11)</f>
        <v>1</v>
      </c>
      <c r="P11" cm="1">
        <f t="array" ref="P11">StudPL(Results!$B$18:$L$18,Results!$B$19:$L$19,C11:M11)</f>
        <v>100</v>
      </c>
      <c r="Q11">
        <f t="array" ref="Q11:S11">DataStatistics(Close!$B$2:$L$48,1000000,C11:M11)</f>
        <v>10533.121700815123</v>
      </c>
      <c r="R11">
        <v>-1487.8909911150972</v>
      </c>
      <c r="S11">
        <v>18813.334423822107</v>
      </c>
    </row>
    <row r="12" spans="1:23" ht="12.75" customHeight="1" thickBot="1">
      <c r="A12" s="55">
        <v>11</v>
      </c>
      <c r="B12" s="57" t="s">
        <v>75</v>
      </c>
      <c r="C12" s="60">
        <v>0</v>
      </c>
      <c r="D12" s="60">
        <v>0</v>
      </c>
      <c r="E12" s="60">
        <v>0</v>
      </c>
      <c r="F12" s="60">
        <v>0</v>
      </c>
      <c r="G12" s="60">
        <v>0</v>
      </c>
      <c r="H12" s="60">
        <v>0</v>
      </c>
      <c r="I12" s="60">
        <v>0</v>
      </c>
      <c r="J12" s="60">
        <v>0</v>
      </c>
      <c r="K12" s="60">
        <v>0</v>
      </c>
      <c r="L12" s="60">
        <v>0</v>
      </c>
      <c r="M12" s="60">
        <v>1</v>
      </c>
      <c r="N12" s="39" cm="1">
        <f t="array" ref="N12">SUM(ABS(C12:M12))</f>
        <v>1</v>
      </c>
      <c r="O12">
        <f t="array" ref="O12">Abssum(C12:M12)</f>
        <v>1</v>
      </c>
      <c r="P12" cm="1">
        <f t="array" ref="P12">StudPL(Results!$B$18:$L$18,Results!$B$19:$L$19,C12:M12)</f>
        <v>100</v>
      </c>
      <c r="Q12">
        <f t="array" ref="Q12:S12">DataStatistics(Close!$B$2:$L$48,1000000,C12:M12)</f>
        <v>9194.0320527093972</v>
      </c>
      <c r="R12">
        <v>-1751.9123101092282</v>
      </c>
      <c r="S12">
        <v>16874.749278316362</v>
      </c>
    </row>
    <row r="13" spans="1:23" ht="12.75" customHeight="1" thickBot="1">
      <c r="A13" s="55">
        <v>12</v>
      </c>
      <c r="B13" s="57" t="s">
        <v>49</v>
      </c>
      <c r="C13" s="60">
        <v>0</v>
      </c>
      <c r="D13" s="60">
        <v>0</v>
      </c>
      <c r="E13" s="60">
        <v>0</v>
      </c>
      <c r="F13" s="60">
        <v>0</v>
      </c>
      <c r="G13" s="60">
        <v>0</v>
      </c>
      <c r="H13" s="60">
        <v>0</v>
      </c>
      <c r="I13" s="60">
        <v>0</v>
      </c>
      <c r="J13" s="60">
        <v>0</v>
      </c>
      <c r="K13" s="60">
        <v>0</v>
      </c>
      <c r="L13" s="60">
        <v>0</v>
      </c>
      <c r="M13" s="60">
        <v>-1</v>
      </c>
      <c r="N13" s="39" cm="1">
        <f t="array" ref="N13">SUM(ABS(C13:M13))</f>
        <v>1</v>
      </c>
      <c r="O13">
        <f t="array" ref="O13">Abssum(C13:M13)</f>
        <v>1</v>
      </c>
      <c r="P13" cm="1">
        <f t="array" ref="P13">StudPL(Results!$B$18:$L$18,Results!$B$19:$L$19,C13:M13)</f>
        <v>100</v>
      </c>
      <c r="Q13">
        <f t="array" ref="Q13:S13">DataStatistics(Close!$B$2:$L$48,1000000,C13:M13)</f>
        <v>9194.0320527093972</v>
      </c>
      <c r="R13">
        <v>1751.9123101092282</v>
      </c>
      <c r="S13">
        <v>13370.924658097907</v>
      </c>
    </row>
    <row r="14" spans="1:23" ht="12.75" customHeight="1" thickBot="1">
      <c r="A14" s="56">
        <v>13</v>
      </c>
      <c r="B14" s="57" t="s">
        <v>50</v>
      </c>
      <c r="C14" s="60">
        <v>-1</v>
      </c>
      <c r="D14" s="60">
        <v>0</v>
      </c>
      <c r="E14" s="60">
        <v>0</v>
      </c>
      <c r="F14" s="60">
        <v>0</v>
      </c>
      <c r="G14" s="60">
        <v>0</v>
      </c>
      <c r="H14" s="60">
        <v>0</v>
      </c>
      <c r="I14" s="60">
        <v>0</v>
      </c>
      <c r="J14" s="60">
        <v>0</v>
      </c>
      <c r="K14" s="60">
        <v>0</v>
      </c>
      <c r="L14" s="60">
        <v>0</v>
      </c>
      <c r="M14" s="60">
        <v>0</v>
      </c>
      <c r="N14" s="39" cm="1">
        <f t="array" ref="N14">SUM(ABS(C14:M14))</f>
        <v>1</v>
      </c>
      <c r="O14">
        <f t="array" ref="O14">Abssum(C14:M14)</f>
        <v>1</v>
      </c>
      <c r="P14" cm="1">
        <f t="array" ref="P14">StudPL(Results!$B$18:$L$18,Results!$B$19:$L$19,C14:M14)</f>
        <v>100</v>
      </c>
      <c r="Q14">
        <f t="array" ref="Q14:S14">DataStatistics(Close!$B$2:$L$48,1000000,C14:M14)</f>
        <v>18992.641278445564</v>
      </c>
      <c r="R14">
        <v>2783.3374788969186</v>
      </c>
      <c r="S14">
        <v>28456.777413342501</v>
      </c>
    </row>
    <row r="15" spans="1:23" ht="12.75" customHeight="1" thickBot="1">
      <c r="A15" s="55">
        <v>14</v>
      </c>
      <c r="B15" s="57" t="s">
        <v>51</v>
      </c>
      <c r="C15" s="60">
        <v>0</v>
      </c>
      <c r="D15" s="60">
        <v>-1</v>
      </c>
      <c r="E15" s="60">
        <v>0</v>
      </c>
      <c r="F15" s="60">
        <v>0</v>
      </c>
      <c r="G15" s="60">
        <v>0</v>
      </c>
      <c r="H15" s="60">
        <v>0</v>
      </c>
      <c r="I15" s="60">
        <v>0</v>
      </c>
      <c r="J15" s="60">
        <v>0</v>
      </c>
      <c r="K15" s="60">
        <v>0</v>
      </c>
      <c r="L15" s="60">
        <v>0</v>
      </c>
      <c r="M15" s="60">
        <v>0</v>
      </c>
      <c r="N15" s="39" cm="1">
        <f t="array" ref="N15">SUM(ABS(C15:M15))</f>
        <v>1</v>
      </c>
      <c r="O15">
        <f t="array" ref="O15">Abssum(C15:M15)</f>
        <v>1</v>
      </c>
      <c r="P15" cm="1">
        <f t="array" ref="P15">StudPL(Results!$B$18:$L$18,Results!$B$19:$L$19,C15:M15)</f>
        <v>100</v>
      </c>
      <c r="Q15">
        <f t="array" ref="Q15:S15">DataStatistics(Close!$B$2:$L$48,1000000,C15:M15)</f>
        <v>8302.9818288690112</v>
      </c>
      <c r="R15">
        <v>1278.1854527814205</v>
      </c>
      <c r="S15">
        <v>12379.004322945933</v>
      </c>
    </row>
    <row r="16" spans="1:23" ht="12.75" customHeight="1" thickBot="1">
      <c r="A16" s="55">
        <v>15</v>
      </c>
      <c r="B16" s="57" t="s">
        <v>52</v>
      </c>
      <c r="C16" s="60">
        <v>0</v>
      </c>
      <c r="D16" s="60">
        <v>0</v>
      </c>
      <c r="E16" s="60">
        <v>-1</v>
      </c>
      <c r="F16" s="60">
        <v>0</v>
      </c>
      <c r="G16" s="60">
        <v>0</v>
      </c>
      <c r="H16" s="60">
        <v>0</v>
      </c>
      <c r="I16" s="60">
        <v>0</v>
      </c>
      <c r="J16" s="60">
        <v>0</v>
      </c>
      <c r="K16" s="60">
        <v>0</v>
      </c>
      <c r="L16" s="60">
        <v>0</v>
      </c>
      <c r="M16" s="60">
        <v>0</v>
      </c>
      <c r="N16" s="39" cm="1">
        <f t="array" ref="N16">SUM(ABS(C16:M16))</f>
        <v>1</v>
      </c>
      <c r="O16">
        <f t="array" ref="O16">Abssum(C16:M16)</f>
        <v>1</v>
      </c>
      <c r="P16" cm="1">
        <f t="array" ref="P16">StudPL(Results!$B$18:$L$18,Results!$B$19:$L$19,C16:M16)</f>
        <v>100.06880931219358</v>
      </c>
      <c r="Q16">
        <f t="array" ref="Q16:S16">DataStatistics(Close!$B$2:$L$48,1000000,C16:M16)</f>
        <v>8787.1772208974216</v>
      </c>
      <c r="R16">
        <v>-1103.6176888421626</v>
      </c>
      <c r="S16">
        <v>15557.238011300638</v>
      </c>
    </row>
    <row r="17" spans="1:19" ht="12.75" customHeight="1" thickBot="1">
      <c r="A17" s="55">
        <v>16</v>
      </c>
      <c r="B17" s="57" t="s">
        <v>53</v>
      </c>
      <c r="C17" s="60">
        <v>0</v>
      </c>
      <c r="D17" s="60">
        <v>0</v>
      </c>
      <c r="E17" s="60">
        <v>0</v>
      </c>
      <c r="F17" s="60">
        <v>-1</v>
      </c>
      <c r="G17" s="60">
        <v>0</v>
      </c>
      <c r="H17" s="60">
        <v>0</v>
      </c>
      <c r="I17" s="60">
        <v>0</v>
      </c>
      <c r="J17" s="60">
        <v>0</v>
      </c>
      <c r="K17" s="60">
        <v>0</v>
      </c>
      <c r="L17" s="60">
        <v>0</v>
      </c>
      <c r="M17" s="60">
        <v>0</v>
      </c>
      <c r="N17" s="39" cm="1">
        <f t="array" ref="N17">SUM(ABS(C17:M17))</f>
        <v>1</v>
      </c>
      <c r="O17">
        <f t="array" ref="O17">Abssum(C17:M17)</f>
        <v>1</v>
      </c>
      <c r="P17" cm="1">
        <f t="array" ref="P17">StudPL(Results!$B$18:$L$18,Results!$B$19:$L$19,C17:M17)</f>
        <v>100</v>
      </c>
      <c r="Q17">
        <f t="array" ref="Q17:S17">DataStatistics(Close!$B$2:$L$48,1000000,C17:M17)</f>
        <v>7591.055860593332</v>
      </c>
      <c r="R17">
        <v>-80.665578819998402</v>
      </c>
      <c r="S17">
        <v>12566.841343508166</v>
      </c>
    </row>
    <row r="18" spans="1:19" ht="12.75" customHeight="1" thickBot="1">
      <c r="A18" s="56">
        <v>17</v>
      </c>
      <c r="B18" s="57" t="s">
        <v>54</v>
      </c>
      <c r="C18" s="60">
        <v>0</v>
      </c>
      <c r="D18" s="60">
        <v>0</v>
      </c>
      <c r="E18" s="60">
        <v>0</v>
      </c>
      <c r="F18" s="60">
        <v>0</v>
      </c>
      <c r="G18" s="60">
        <v>-1</v>
      </c>
      <c r="H18" s="60">
        <v>0</v>
      </c>
      <c r="I18" s="60">
        <v>0</v>
      </c>
      <c r="J18" s="60">
        <v>0</v>
      </c>
      <c r="K18" s="60">
        <v>0</v>
      </c>
      <c r="L18" s="60">
        <v>0</v>
      </c>
      <c r="M18" s="60">
        <v>0</v>
      </c>
      <c r="N18" s="39" cm="1">
        <f t="array" ref="N18">SUM(ABS(C18:M18))</f>
        <v>1</v>
      </c>
      <c r="O18">
        <f t="array" ref="O18">Abssum(C18:M18)</f>
        <v>1</v>
      </c>
      <c r="P18" cm="1">
        <f t="array" ref="P18">StudPL(Results!$B$18:$L$18,Results!$B$19:$L$19,C18:M18)</f>
        <v>99.97033005999117</v>
      </c>
      <c r="Q18">
        <f t="array" ref="Q18:S18">DataStatistics(Close!$B$2:$L$48,1000000,C18:M18)</f>
        <v>11651.071226986034</v>
      </c>
      <c r="R18">
        <v>-756.03979719030235</v>
      </c>
      <c r="S18">
        <v>19920.346562768213</v>
      </c>
    </row>
    <row r="19" spans="1:19" ht="12.75" customHeight="1" thickBot="1">
      <c r="A19" s="55">
        <v>18</v>
      </c>
      <c r="B19" s="57" t="s">
        <v>55</v>
      </c>
      <c r="C19" s="60">
        <v>0</v>
      </c>
      <c r="D19" s="60">
        <v>0</v>
      </c>
      <c r="E19" s="60">
        <v>0</v>
      </c>
      <c r="F19" s="60">
        <v>0</v>
      </c>
      <c r="G19" s="60">
        <v>0</v>
      </c>
      <c r="H19" s="60">
        <v>-1</v>
      </c>
      <c r="I19" s="60">
        <v>0</v>
      </c>
      <c r="J19" s="60">
        <v>0</v>
      </c>
      <c r="K19" s="60">
        <v>0</v>
      </c>
      <c r="L19" s="60">
        <v>0</v>
      </c>
      <c r="M19" s="60">
        <v>0</v>
      </c>
      <c r="N19" s="39" cm="1">
        <f t="array" ref="N19">SUM(ABS(C19:M19))</f>
        <v>1</v>
      </c>
      <c r="O19">
        <f t="array" ref="O19">Abssum(C19:M19)</f>
        <v>1</v>
      </c>
      <c r="P19" cm="1">
        <f t="array" ref="P19">StudPL(Results!$B$18:$L$18,Results!$B$19:$L$19,C19:M19)</f>
        <v>100</v>
      </c>
      <c r="Q19">
        <f t="array" ref="Q19:S19">DataStatistics(Close!$B$2:$L$48,1000000,C19:M19)</f>
        <v>24367.953425991291</v>
      </c>
      <c r="R19">
        <v>2804.2927430951449</v>
      </c>
      <c r="S19">
        <v>37277.423831031163</v>
      </c>
    </row>
    <row r="20" spans="1:19" ht="12.75" customHeight="1" thickBot="1">
      <c r="A20" s="55">
        <v>19</v>
      </c>
      <c r="B20" s="57" t="s">
        <v>56</v>
      </c>
      <c r="C20" s="60">
        <v>0</v>
      </c>
      <c r="D20" s="60">
        <v>0</v>
      </c>
      <c r="E20" s="60">
        <v>0</v>
      </c>
      <c r="F20" s="60">
        <v>0</v>
      </c>
      <c r="G20" s="60">
        <v>0</v>
      </c>
      <c r="H20" s="60">
        <v>0</v>
      </c>
      <c r="I20" s="60">
        <v>-1</v>
      </c>
      <c r="J20" s="60">
        <v>0</v>
      </c>
      <c r="K20" s="60">
        <v>0</v>
      </c>
      <c r="L20" s="60">
        <v>0</v>
      </c>
      <c r="M20" s="60">
        <v>0</v>
      </c>
      <c r="N20" s="39" cm="1">
        <f t="array" ref="N20">SUM(ABS(C20:M20))</f>
        <v>1</v>
      </c>
      <c r="O20">
        <f t="array" ref="O20">Abssum(C20:M20)</f>
        <v>1</v>
      </c>
      <c r="P20" cm="1">
        <f t="array" ref="P20">StudPL(Results!$B$18:$L$18,Results!$B$19:$L$19,C20:M20)</f>
        <v>100</v>
      </c>
      <c r="Q20">
        <f t="array" ref="Q20:S20">DataStatistics(Close!$B$2:$L$48,1000000,C20:M20)</f>
        <v>10509.46225084966</v>
      </c>
      <c r="R20">
        <v>1175.1363149740876</v>
      </c>
      <c r="S20">
        <v>16111.39078564555</v>
      </c>
    </row>
    <row r="21" spans="1:19" ht="12.75" customHeight="1" thickBot="1">
      <c r="A21" s="55">
        <v>20</v>
      </c>
      <c r="B21" t="s">
        <v>57</v>
      </c>
      <c r="C21" s="60">
        <v>0</v>
      </c>
      <c r="D21" s="60">
        <v>0</v>
      </c>
      <c r="E21" s="60">
        <v>0</v>
      </c>
      <c r="F21" s="60">
        <v>0</v>
      </c>
      <c r="G21" s="60">
        <v>0</v>
      </c>
      <c r="H21" s="60">
        <v>0</v>
      </c>
      <c r="I21" s="60">
        <v>0</v>
      </c>
      <c r="J21" s="60">
        <v>-1</v>
      </c>
      <c r="K21" s="60">
        <v>0</v>
      </c>
      <c r="L21" s="60">
        <v>0</v>
      </c>
      <c r="M21" s="60">
        <v>0</v>
      </c>
      <c r="N21" s="39" cm="1">
        <f t="array" ref="N21">SUM(ABS(C21:M21))</f>
        <v>1</v>
      </c>
      <c r="O21">
        <f t="array" ref="O21">Abssum(C21:M21)</f>
        <v>1</v>
      </c>
      <c r="P21" cm="1">
        <f t="array" ref="P21">StudPL(Results!$B$18:$L$18,Results!$B$19:$L$19,C21:M21)</f>
        <v>100</v>
      </c>
      <c r="Q21">
        <f t="array" ref="Q21:S21">DataStatistics(Close!$B$2:$L$48,1000000,C21:M21)</f>
        <v>11122.247614143896</v>
      </c>
      <c r="R21">
        <v>-1939.4402667948859</v>
      </c>
      <c r="S21">
        <v>20233.909594771823</v>
      </c>
    </row>
    <row r="22" spans="1:19" ht="12.75" customHeight="1" thickBot="1">
      <c r="A22" s="56">
        <v>21</v>
      </c>
      <c r="B22" t="s">
        <v>58</v>
      </c>
      <c r="C22" s="60">
        <v>0</v>
      </c>
      <c r="D22" s="60">
        <v>0</v>
      </c>
      <c r="E22" s="60">
        <v>0</v>
      </c>
      <c r="F22" s="60">
        <v>0</v>
      </c>
      <c r="G22" s="60">
        <v>0</v>
      </c>
      <c r="H22" s="60">
        <v>0</v>
      </c>
      <c r="I22" s="60">
        <v>0</v>
      </c>
      <c r="J22" s="60">
        <v>-1</v>
      </c>
      <c r="K22" s="60">
        <v>0</v>
      </c>
      <c r="L22" s="60">
        <v>0</v>
      </c>
      <c r="M22" s="60">
        <v>0</v>
      </c>
      <c r="N22" s="39" cm="1">
        <f t="array" ref="N22">SUM(ABS(C22:M22))</f>
        <v>1</v>
      </c>
      <c r="O22">
        <f t="array" ref="O22">Abssum(C22:M22)</f>
        <v>1</v>
      </c>
      <c r="P22" cm="1">
        <f t="array" ref="P22">StudPL(Results!$B$18:$L$18,Results!$B$19:$L$19,C22:M22)</f>
        <v>100</v>
      </c>
      <c r="Q22">
        <f t="array" ref="Q22:S22">DataStatistics(Close!$B$2:$L$48,1000000,C22:M22)</f>
        <v>11122.247614143896</v>
      </c>
      <c r="R22">
        <v>-1939.4402667948859</v>
      </c>
      <c r="S22">
        <v>20233.909594771823</v>
      </c>
    </row>
    <row r="23" spans="1:19" ht="12.75" customHeight="1" thickBot="1">
      <c r="A23" s="55">
        <v>22</v>
      </c>
      <c r="B23" t="s">
        <v>59</v>
      </c>
      <c r="C23" s="60">
        <v>0</v>
      </c>
      <c r="D23" s="60">
        <v>0</v>
      </c>
      <c r="E23" s="60">
        <v>0</v>
      </c>
      <c r="F23" s="60">
        <v>0</v>
      </c>
      <c r="G23" s="60">
        <v>0</v>
      </c>
      <c r="H23" s="60">
        <v>0</v>
      </c>
      <c r="I23" s="60">
        <v>0</v>
      </c>
      <c r="J23" s="60">
        <v>0</v>
      </c>
      <c r="K23" s="60">
        <v>-1</v>
      </c>
      <c r="L23" s="60">
        <v>0</v>
      </c>
      <c r="M23" s="60">
        <v>0</v>
      </c>
      <c r="N23" s="39" cm="1">
        <f t="array" ref="N23">SUM(ABS(C23:M23))</f>
        <v>1</v>
      </c>
      <c r="O23">
        <f t="array" ref="O23">Abssum(C23:M23)</f>
        <v>1</v>
      </c>
      <c r="P23" cm="1">
        <f t="array" ref="P23">StudPL(Results!$B$18:$L$18,Results!$B$19:$L$19,C23:M23)</f>
        <v>100</v>
      </c>
      <c r="Q23">
        <f t="array" ref="Q23:S23">DataStatistics(Close!$B$2:$L$48,1000000,C23:M23)</f>
        <v>10475.907047118939</v>
      </c>
      <c r="R23">
        <v>-1452.5318825556064</v>
      </c>
      <c r="S23">
        <v>18683.865584615673</v>
      </c>
    </row>
    <row r="24" spans="1:19" ht="12.75" customHeight="1" thickBot="1">
      <c r="A24" s="55">
        <v>23</v>
      </c>
      <c r="B24" t="s">
        <v>60</v>
      </c>
      <c r="C24" s="60">
        <v>0</v>
      </c>
      <c r="D24" s="60">
        <v>0</v>
      </c>
      <c r="E24" s="60">
        <v>0</v>
      </c>
      <c r="F24" s="60">
        <v>0</v>
      </c>
      <c r="G24" s="60">
        <v>0</v>
      </c>
      <c r="H24" s="60">
        <v>0</v>
      </c>
      <c r="I24" s="60">
        <v>0</v>
      </c>
      <c r="J24" s="60">
        <v>0</v>
      </c>
      <c r="K24" s="60">
        <v>0</v>
      </c>
      <c r="L24" s="60">
        <v>-1</v>
      </c>
      <c r="M24" s="60">
        <v>0</v>
      </c>
      <c r="N24" s="39" cm="1">
        <f t="array" ref="N24">SUM(ABS(C24:M24))</f>
        <v>1</v>
      </c>
      <c r="O24">
        <f t="array" ref="O24">Abssum(C24:M24)</f>
        <v>1</v>
      </c>
      <c r="P24" cm="1">
        <f t="array" ref="P24">StudPL(Results!$B$18:$L$18,Results!$B$19:$L$19,C24:M24)</f>
        <v>100</v>
      </c>
      <c r="Q24">
        <f t="array" ref="Q24:S24">DataStatistics(Close!$B$2:$L$48,1000000,C24:M24)</f>
        <v>10533.121700815123</v>
      </c>
      <c r="R24">
        <v>1487.8909911150972</v>
      </c>
      <c r="S24">
        <v>15837.552441591912</v>
      </c>
    </row>
    <row r="25" spans="1:19" ht="12.75" customHeight="1" thickBot="1">
      <c r="A25" s="55">
        <v>24</v>
      </c>
      <c r="B25" t="s">
        <v>61</v>
      </c>
      <c r="C25" s="60">
        <v>0</v>
      </c>
      <c r="D25" s="60">
        <v>0</v>
      </c>
      <c r="E25" s="60">
        <v>0</v>
      </c>
      <c r="F25" s="60">
        <v>0</v>
      </c>
      <c r="G25" s="60">
        <v>0</v>
      </c>
      <c r="H25" s="60">
        <v>0</v>
      </c>
      <c r="I25" s="60">
        <v>0</v>
      </c>
      <c r="J25" s="60">
        <v>0</v>
      </c>
      <c r="K25" s="60">
        <v>0</v>
      </c>
      <c r="L25" s="60">
        <v>0</v>
      </c>
      <c r="M25" s="60">
        <v>-1</v>
      </c>
      <c r="N25" s="39" cm="1">
        <f t="array" ref="N25">SUM(ABS(C25:M25))</f>
        <v>1</v>
      </c>
      <c r="O25">
        <f t="array" ref="O25">Abssum(C25:M25)</f>
        <v>1</v>
      </c>
      <c r="P25" cm="1">
        <f t="array" ref="P25">StudPL(Results!$B$18:$L$18,Results!$B$19:$L$19,C25:M25)</f>
        <v>100</v>
      </c>
      <c r="Q25">
        <f t="array" ref="Q25:S25">DataStatistics(Close!$B$2:$L$48,1000000,C25:M25)</f>
        <v>9194.0320527093972</v>
      </c>
      <c r="R25">
        <v>1751.9123101092282</v>
      </c>
      <c r="S25">
        <v>13370.924658097907</v>
      </c>
    </row>
    <row r="26" spans="1:19" ht="12.75" customHeight="1" thickBot="1">
      <c r="A26" s="55">
        <v>25</v>
      </c>
      <c r="B26" t="s">
        <v>62</v>
      </c>
      <c r="C26" s="60">
        <v>0</v>
      </c>
      <c r="D26" s="60">
        <v>0</v>
      </c>
      <c r="E26" s="60">
        <v>0</v>
      </c>
      <c r="F26" s="60">
        <v>0</v>
      </c>
      <c r="G26" s="60">
        <v>0</v>
      </c>
      <c r="H26" s="60">
        <v>0</v>
      </c>
      <c r="I26" s="60">
        <v>0</v>
      </c>
      <c r="J26" s="60">
        <v>0</v>
      </c>
      <c r="K26" s="60">
        <v>0</v>
      </c>
      <c r="L26" s="60">
        <v>-1</v>
      </c>
      <c r="M26" s="60">
        <v>0</v>
      </c>
      <c r="N26" s="39" cm="1">
        <f t="array" ref="N26">SUM(ABS(C26:M26))</f>
        <v>1</v>
      </c>
      <c r="O26">
        <f t="array" ref="O26">Abssum(C26:M26)</f>
        <v>1</v>
      </c>
      <c r="P26" cm="1">
        <f t="array" ref="P26">StudPL(Results!$B$18:$L$18,Results!$B$19:$L$19,C26:M26)</f>
        <v>100</v>
      </c>
      <c r="Q26">
        <f t="array" ref="Q26:S26">DataStatistics(Close!$B$2:$L$48,1000000,C26:M26)</f>
        <v>10533.121700815123</v>
      </c>
      <c r="R26">
        <v>1487.8909911150972</v>
      </c>
      <c r="S26">
        <v>15837.552441591912</v>
      </c>
    </row>
    <row r="27" spans="1:19" ht="12.75" customHeight="1">
      <c r="N27" s="39"/>
    </row>
    <row r="28" spans="1:19" ht="12.75" customHeight="1">
      <c r="N28" s="39"/>
    </row>
    <row r="29" spans="1:19" ht="12.75" customHeight="1">
      <c r="A29" s="59"/>
      <c r="N29" s="39"/>
    </row>
    <row r="30" spans="1:19" ht="12.75" customHeight="1">
      <c r="A30" s="59"/>
      <c r="N30" s="39"/>
    </row>
    <row r="31" spans="1:19" ht="12.75" customHeight="1">
      <c r="B31" s="58" t="s">
        <v>36</v>
      </c>
      <c r="N31" s="39"/>
    </row>
    <row r="32" spans="1:19" ht="12.75" customHeight="1">
      <c r="B32" t="s">
        <v>37</v>
      </c>
    </row>
    <row r="33" spans="2:2" ht="12.75" customHeight="1">
      <c r="B33" t="s">
        <v>38</v>
      </c>
    </row>
    <row r="34" spans="2:2" ht="12.75" customHeight="1">
      <c r="B34" t="s">
        <v>39</v>
      </c>
    </row>
    <row r="35" spans="2:2" ht="12.75" customHeight="1"/>
    <row r="36" spans="2:2" ht="12.75" customHeight="1"/>
    <row r="37" spans="2:2" ht="12.75" customHeight="1"/>
    <row r="38" spans="2:2" ht="12.75" customHeight="1"/>
    <row r="39" spans="2:2" ht="12.75" customHeight="1"/>
    <row r="40" spans="2:2" ht="12.75" customHeight="1"/>
    <row r="41" spans="2:2" ht="12.75" customHeight="1"/>
    <row r="42" spans="2:2" ht="12.75" customHeight="1"/>
    <row r="43" spans="2:2" ht="12.75" customHeight="1"/>
    <row r="44" spans="2:2" ht="12.75" customHeight="1"/>
    <row r="45" spans="2:2" ht="12.75" customHeight="1"/>
    <row r="46" spans="2:2" ht="12.75" customHeight="1"/>
    <row r="47" spans="2:2" ht="12.75" customHeight="1"/>
    <row r="48" spans="2:2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  <row r="1001" ht="12.75" customHeight="1"/>
    <row r="1002" ht="12.75" customHeight="1"/>
    <row r="1003" ht="12.75" customHeight="1"/>
    <row r="1004" ht="12.75" customHeight="1"/>
    <row r="1005" ht="12.75" customHeight="1"/>
    <row r="1006" ht="12.75" customHeight="1"/>
  </sheetData>
  <phoneticPr fontId="30" type="noConversion"/>
  <pageMargins left="0.75" right="0.75" top="1" bottom="1" header="0" footer="0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C7C12-5B0C-490A-AF1B-B8AB8975AC9A}">
  <dimension ref="A1:J13"/>
  <sheetViews>
    <sheetView workbookViewId="0"/>
  </sheetViews>
  <sheetFormatPr defaultRowHeight="12.45"/>
  <sheetData>
    <row r="1" spans="1:10">
      <c r="A1" t="s">
        <v>26</v>
      </c>
      <c r="B1" t="s">
        <v>32</v>
      </c>
      <c r="C1" t="s">
        <v>63</v>
      </c>
      <c r="D1" t="s">
        <v>34</v>
      </c>
      <c r="E1" t="s">
        <v>35</v>
      </c>
      <c r="F1" t="s">
        <v>33</v>
      </c>
      <c r="G1" t="s">
        <v>64</v>
      </c>
      <c r="H1" t="s">
        <v>65</v>
      </c>
      <c r="I1" t="s">
        <v>66</v>
      </c>
      <c r="J1" t="s">
        <v>67</v>
      </c>
    </row>
    <row r="2" spans="1:10">
      <c r="A2" t="s">
        <v>107</v>
      </c>
      <c r="B2">
        <v>0.84</v>
      </c>
      <c r="C2">
        <v>14948.93</v>
      </c>
      <c r="D2">
        <v>81.83</v>
      </c>
      <c r="E2">
        <v>81.819999999999993</v>
      </c>
      <c r="F2">
        <v>81.819999999999993</v>
      </c>
      <c r="G2">
        <v>9076037393.5100002</v>
      </c>
      <c r="H2">
        <v>30974</v>
      </c>
      <c r="I2" t="s">
        <v>68</v>
      </c>
      <c r="J2" t="s">
        <v>69</v>
      </c>
    </row>
    <row r="3" spans="1:10">
      <c r="A3" t="s">
        <v>108</v>
      </c>
      <c r="B3">
        <v>-0.37</v>
      </c>
      <c r="C3">
        <v>3402.78</v>
      </c>
      <c r="D3">
        <v>16691</v>
      </c>
      <c r="E3">
        <v>16689</v>
      </c>
      <c r="F3">
        <v>16687</v>
      </c>
      <c r="G3">
        <v>883212479</v>
      </c>
      <c r="H3">
        <v>11082</v>
      </c>
      <c r="I3" t="s">
        <v>70</v>
      </c>
      <c r="J3" t="s">
        <v>71</v>
      </c>
    </row>
    <row r="4" spans="1:10">
      <c r="A4" t="s">
        <v>109</v>
      </c>
      <c r="B4">
        <v>-0.72</v>
      </c>
      <c r="C4">
        <v>3567.01</v>
      </c>
      <c r="D4">
        <v>17440</v>
      </c>
      <c r="E4">
        <v>17438</v>
      </c>
      <c r="F4">
        <v>17439</v>
      </c>
      <c r="G4">
        <v>108478524</v>
      </c>
      <c r="H4">
        <v>2737</v>
      </c>
      <c r="I4" t="s">
        <v>70</v>
      </c>
      <c r="J4" t="s">
        <v>71</v>
      </c>
    </row>
    <row r="5" spans="1:10">
      <c r="A5" t="s">
        <v>110</v>
      </c>
      <c r="B5">
        <v>0.28999999999999998</v>
      </c>
      <c r="C5">
        <v>10951.29</v>
      </c>
      <c r="D5">
        <v>1991.1</v>
      </c>
      <c r="E5">
        <v>1991</v>
      </c>
      <c r="F5">
        <v>1991.1</v>
      </c>
      <c r="G5">
        <v>6815497681.8299999</v>
      </c>
      <c r="H5">
        <v>9286</v>
      </c>
      <c r="I5" t="s">
        <v>72</v>
      </c>
      <c r="J5" t="s">
        <v>69</v>
      </c>
    </row>
    <row r="6" spans="1:10">
      <c r="A6" t="s">
        <v>111</v>
      </c>
      <c r="B6">
        <v>0.4</v>
      </c>
      <c r="C6">
        <v>22177.81</v>
      </c>
      <c r="D6">
        <v>69049</v>
      </c>
      <c r="E6">
        <v>69027</v>
      </c>
      <c r="F6">
        <v>69044</v>
      </c>
      <c r="G6">
        <v>204729800</v>
      </c>
      <c r="H6">
        <v>1480</v>
      </c>
      <c r="I6" t="s">
        <v>70</v>
      </c>
      <c r="J6" t="s">
        <v>71</v>
      </c>
    </row>
    <row r="7" spans="1:10">
      <c r="A7" t="s">
        <v>112</v>
      </c>
      <c r="B7">
        <v>-0.82</v>
      </c>
      <c r="C7">
        <v>5671.95</v>
      </c>
      <c r="D7">
        <v>2.9</v>
      </c>
      <c r="E7">
        <v>2.899</v>
      </c>
      <c r="F7">
        <v>2.899</v>
      </c>
      <c r="G7">
        <v>9558966810.7399998</v>
      </c>
      <c r="H7">
        <v>50978</v>
      </c>
      <c r="I7" t="s">
        <v>73</v>
      </c>
      <c r="J7" t="s">
        <v>69</v>
      </c>
    </row>
    <row r="8" spans="1:10">
      <c r="A8" t="s">
        <v>113</v>
      </c>
      <c r="B8">
        <v>-0.03</v>
      </c>
      <c r="C8">
        <v>17732.259999999998</v>
      </c>
      <c r="D8">
        <v>58917</v>
      </c>
      <c r="E8">
        <v>58895</v>
      </c>
      <c r="F8">
        <v>58910</v>
      </c>
      <c r="G8">
        <v>84040212</v>
      </c>
      <c r="H8">
        <v>863</v>
      </c>
      <c r="I8" t="s">
        <v>70</v>
      </c>
      <c r="J8" t="s">
        <v>71</v>
      </c>
    </row>
    <row r="9" spans="1:10">
      <c r="A9" t="s">
        <v>114</v>
      </c>
      <c r="B9">
        <v>-0.39</v>
      </c>
      <c r="C9">
        <v>23339.71</v>
      </c>
      <c r="D9">
        <v>114420</v>
      </c>
      <c r="E9">
        <v>114400</v>
      </c>
      <c r="F9">
        <v>114401</v>
      </c>
      <c r="G9">
        <v>43391894</v>
      </c>
      <c r="H9">
        <v>353</v>
      </c>
      <c r="I9" t="s">
        <v>70</v>
      </c>
      <c r="J9" t="s">
        <v>71</v>
      </c>
    </row>
    <row r="10" spans="1:10">
      <c r="A10" t="s">
        <v>115</v>
      </c>
      <c r="B10">
        <v>-0.56999999999999995</v>
      </c>
      <c r="C10">
        <v>35496.53</v>
      </c>
      <c r="D10">
        <v>113110</v>
      </c>
      <c r="E10">
        <v>113100</v>
      </c>
      <c r="F10">
        <v>113110</v>
      </c>
      <c r="G10">
        <v>9765280269.4500008</v>
      </c>
      <c r="H10">
        <v>27299</v>
      </c>
      <c r="I10" t="s">
        <v>70</v>
      </c>
      <c r="J10" t="s">
        <v>69</v>
      </c>
    </row>
    <row r="11" spans="1:10">
      <c r="A11" t="s">
        <v>116</v>
      </c>
      <c r="B11">
        <v>0</v>
      </c>
      <c r="C11">
        <v>5896.55</v>
      </c>
      <c r="D11">
        <v>29006</v>
      </c>
      <c r="E11">
        <v>29005</v>
      </c>
      <c r="F11">
        <v>29005</v>
      </c>
      <c r="G11">
        <v>2397026647</v>
      </c>
      <c r="H11">
        <v>20383</v>
      </c>
      <c r="I11" t="s">
        <v>70</v>
      </c>
      <c r="J11" t="s">
        <v>71</v>
      </c>
    </row>
    <row r="12" spans="1:10">
      <c r="A12" t="s">
        <v>117</v>
      </c>
      <c r="B12">
        <v>0.7</v>
      </c>
      <c r="C12">
        <v>13586.37</v>
      </c>
      <c r="D12">
        <v>89783</v>
      </c>
      <c r="E12">
        <v>89782</v>
      </c>
      <c r="F12">
        <v>89774</v>
      </c>
      <c r="G12">
        <v>92312448232</v>
      </c>
      <c r="H12">
        <v>197444</v>
      </c>
      <c r="I12" t="s">
        <v>70</v>
      </c>
      <c r="J12" t="s">
        <v>71</v>
      </c>
    </row>
    <row r="13" spans="1:10">
      <c r="A13" t="s">
        <v>118</v>
      </c>
      <c r="B13">
        <v>0.57999999999999996</v>
      </c>
      <c r="C13">
        <v>1071.9100000000001</v>
      </c>
      <c r="D13">
        <v>12.54</v>
      </c>
      <c r="E13">
        <v>12.539</v>
      </c>
      <c r="F13">
        <v>12.54</v>
      </c>
      <c r="G13">
        <v>60672479150</v>
      </c>
      <c r="H13">
        <v>85141</v>
      </c>
      <c r="I13" t="s">
        <v>70</v>
      </c>
      <c r="J13" t="s">
        <v>71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AJ1000"/>
  <sheetViews>
    <sheetView view="pageBreakPreview" zoomScale="60" zoomScaleNormal="100" workbookViewId="0">
      <selection activeCell="A22" sqref="A22"/>
    </sheetView>
  </sheetViews>
  <sheetFormatPr defaultColWidth="14.4609375" defaultRowHeight="15" customHeight="1"/>
  <cols>
    <col min="1" max="1" width="18.4609375" customWidth="1"/>
    <col min="2" max="2" width="16.921875" bestFit="1" customWidth="1"/>
    <col min="3" max="3" width="19.4609375" bestFit="1" customWidth="1"/>
    <col min="4" max="4" width="19.765625" bestFit="1" customWidth="1"/>
    <col min="5" max="5" width="19.53515625" bestFit="1" customWidth="1"/>
    <col min="6" max="6" width="19.3828125" bestFit="1" customWidth="1"/>
    <col min="7" max="7" width="17" bestFit="1" customWidth="1"/>
    <col min="8" max="8" width="18.765625" bestFit="1" customWidth="1"/>
    <col min="9" max="9" width="17.921875" bestFit="1" customWidth="1"/>
    <col min="10" max="10" width="19.23046875" bestFit="1" customWidth="1"/>
    <col min="11" max="11" width="15.921875" bestFit="1" customWidth="1"/>
    <col min="12" max="12" width="18.07421875" bestFit="1" customWidth="1"/>
    <col min="13" max="13" width="17.84375" customWidth="1"/>
    <col min="14" max="14" width="37.4609375" customWidth="1"/>
    <col min="15" max="15" width="33.07421875" bestFit="1" customWidth="1"/>
    <col min="16" max="36" width="10.4609375" customWidth="1"/>
  </cols>
  <sheetData>
    <row r="1" spans="1:36" ht="12.75" customHeight="1">
      <c r="A1" s="2" t="s">
        <v>26</v>
      </c>
      <c r="B1" s="4" t="s">
        <v>32</v>
      </c>
      <c r="C1" s="4" t="s">
        <v>63</v>
      </c>
      <c r="D1" s="4" t="s">
        <v>34</v>
      </c>
      <c r="E1" s="4" t="s">
        <v>35</v>
      </c>
      <c r="F1" s="4" t="s">
        <v>33</v>
      </c>
      <c r="G1" s="4" t="s">
        <v>64</v>
      </c>
      <c r="H1" s="4" t="s">
        <v>65</v>
      </c>
      <c r="I1" s="4" t="s">
        <v>66</v>
      </c>
      <c r="J1" s="4" t="s">
        <v>67</v>
      </c>
      <c r="K1" s="4"/>
      <c r="L1" s="4"/>
      <c r="M1" s="4"/>
      <c r="O1" t="s">
        <v>27</v>
      </c>
      <c r="P1" t="s">
        <v>28</v>
      </c>
      <c r="Q1" t="s">
        <v>29</v>
      </c>
    </row>
    <row r="2" spans="1:36" ht="12.75" customHeight="1">
      <c r="A2" s="2" t="s">
        <v>107</v>
      </c>
      <c r="B2" s="4">
        <v>1.04</v>
      </c>
      <c r="C2" s="4">
        <v>14948.93</v>
      </c>
      <c r="D2" s="4">
        <v>81.98</v>
      </c>
      <c r="E2" s="4">
        <v>81.97</v>
      </c>
      <c r="F2" s="4">
        <v>81.98</v>
      </c>
      <c r="G2" s="4">
        <v>9621502205.9500008</v>
      </c>
      <c r="H2" s="4">
        <v>32141</v>
      </c>
      <c r="I2" s="4" t="s">
        <v>68</v>
      </c>
      <c r="J2" s="4" t="s">
        <v>69</v>
      </c>
      <c r="K2" s="4">
        <v>0</v>
      </c>
      <c r="L2" s="4">
        <v>0</v>
      </c>
      <c r="M2" s="4">
        <v>234</v>
      </c>
      <c r="N2">
        <v>64235</v>
      </c>
      <c r="O2">
        <v>0</v>
      </c>
      <c r="P2">
        <v>234</v>
      </c>
      <c r="Q2">
        <v>0</v>
      </c>
    </row>
    <row r="3" spans="1:36" ht="12.75" customHeight="1">
      <c r="A3" s="2" t="s">
        <v>108</v>
      </c>
      <c r="B3" s="4">
        <v>-0.3</v>
      </c>
      <c r="C3" s="4">
        <v>3402.78</v>
      </c>
      <c r="D3" s="4">
        <v>16700</v>
      </c>
      <c r="E3" s="4">
        <v>16696</v>
      </c>
      <c r="F3" s="4">
        <v>16699</v>
      </c>
      <c r="G3" s="4">
        <v>901357405</v>
      </c>
      <c r="H3" s="4">
        <v>11358</v>
      </c>
      <c r="I3" s="4" t="s">
        <v>70</v>
      </c>
      <c r="J3" s="4" t="s">
        <v>71</v>
      </c>
      <c r="K3" s="4">
        <v>0</v>
      </c>
      <c r="L3" s="4">
        <f>H8</f>
        <v>888</v>
      </c>
      <c r="M3" s="4">
        <v>246</v>
      </c>
      <c r="N3" s="2">
        <v>25448</v>
      </c>
      <c r="O3" s="2">
        <v>0</v>
      </c>
      <c r="P3" s="2">
        <v>246</v>
      </c>
      <c r="Q3" s="2">
        <v>0</v>
      </c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2.75" customHeight="1">
      <c r="A4" t="s">
        <v>109</v>
      </c>
      <c r="B4" s="18">
        <v>-0.8</v>
      </c>
      <c r="C4" s="18">
        <v>3567.01</v>
      </c>
      <c r="D4" s="18">
        <v>17429</v>
      </c>
      <c r="E4" s="18">
        <v>17426</v>
      </c>
      <c r="F4" s="18">
        <v>17426</v>
      </c>
      <c r="G4" s="18">
        <v>112262629</v>
      </c>
      <c r="H4" s="18">
        <v>2813</v>
      </c>
      <c r="I4" s="18" t="s">
        <v>70</v>
      </c>
      <c r="J4" s="18" t="s">
        <v>71</v>
      </c>
      <c r="K4" s="18">
        <v>0</v>
      </c>
      <c r="L4" s="18">
        <v>0</v>
      </c>
      <c r="M4" s="18">
        <v>210</v>
      </c>
      <c r="N4">
        <v>2927.7</v>
      </c>
      <c r="O4">
        <v>0</v>
      </c>
      <c r="P4">
        <v>210</v>
      </c>
      <c r="Q4">
        <v>0</v>
      </c>
    </row>
    <row r="5" spans="1:36" ht="12.75" customHeight="1">
      <c r="A5" t="s">
        <v>110</v>
      </c>
      <c r="B5" s="18">
        <v>0.3</v>
      </c>
      <c r="C5" s="18">
        <v>10951.29</v>
      </c>
      <c r="D5" s="18">
        <v>1991.2</v>
      </c>
      <c r="E5" s="18">
        <v>1991.1</v>
      </c>
      <c r="F5" s="18">
        <v>1991.3</v>
      </c>
      <c r="G5" s="18">
        <v>6985190540.4899998</v>
      </c>
      <c r="H5" s="18">
        <v>9551</v>
      </c>
      <c r="I5" s="18" t="s">
        <v>72</v>
      </c>
      <c r="J5" s="18" t="s">
        <v>69</v>
      </c>
      <c r="K5" s="18"/>
      <c r="L5" s="18"/>
      <c r="M5" s="18"/>
    </row>
    <row r="6" spans="1:36" ht="12.75" customHeight="1">
      <c r="A6" t="s">
        <v>111</v>
      </c>
      <c r="B6" s="18">
        <v>0.5</v>
      </c>
      <c r="C6" s="18">
        <v>22177.81</v>
      </c>
      <c r="D6" s="18">
        <v>69115</v>
      </c>
      <c r="E6" s="18">
        <v>69113</v>
      </c>
      <c r="F6" s="18">
        <v>69113</v>
      </c>
      <c r="G6" s="18">
        <v>217167765</v>
      </c>
      <c r="H6" s="18">
        <v>1550</v>
      </c>
      <c r="I6" s="18" t="s">
        <v>70</v>
      </c>
      <c r="J6" s="18" t="s">
        <v>71</v>
      </c>
      <c r="K6" s="18"/>
      <c r="L6" s="18"/>
      <c r="M6" s="18"/>
    </row>
    <row r="7" spans="1:36" ht="12.75" customHeight="1">
      <c r="A7" t="s">
        <v>112</v>
      </c>
      <c r="B7" s="18">
        <v>-0.57999999999999996</v>
      </c>
      <c r="C7" s="18">
        <v>5671.95</v>
      </c>
      <c r="D7" s="18">
        <v>2.9060000000000001</v>
      </c>
      <c r="E7" s="18">
        <v>2.9049999999999998</v>
      </c>
      <c r="F7" s="18">
        <v>2.9060000000000001</v>
      </c>
      <c r="G7" s="18">
        <v>9784260868.1100006</v>
      </c>
      <c r="H7" s="18">
        <v>51980</v>
      </c>
      <c r="I7" s="18" t="s">
        <v>73</v>
      </c>
      <c r="J7" s="18" t="s">
        <v>69</v>
      </c>
      <c r="K7" s="18"/>
      <c r="L7" s="18"/>
      <c r="M7" s="18"/>
    </row>
    <row r="8" spans="1:36" ht="12.75" customHeight="1">
      <c r="A8" t="s">
        <v>113</v>
      </c>
      <c r="B8" s="18">
        <v>-0.05</v>
      </c>
      <c r="C8" s="18">
        <v>17732.259999999998</v>
      </c>
      <c r="D8" s="18">
        <v>58859</v>
      </c>
      <c r="E8" s="18">
        <v>58855</v>
      </c>
      <c r="F8" s="18">
        <v>58898</v>
      </c>
      <c r="G8" s="18">
        <v>86925748</v>
      </c>
      <c r="H8" s="18">
        <v>888</v>
      </c>
      <c r="I8" s="18" t="s">
        <v>70</v>
      </c>
      <c r="J8" s="18" t="s">
        <v>71</v>
      </c>
      <c r="K8" s="18"/>
      <c r="L8" s="18"/>
      <c r="M8" s="18"/>
    </row>
    <row r="9" spans="1:36" ht="12.75" customHeight="1">
      <c r="A9" t="s">
        <v>114</v>
      </c>
      <c r="B9" s="18">
        <v>-0.39</v>
      </c>
      <c r="C9" s="18">
        <v>23339.71</v>
      </c>
      <c r="D9" s="18">
        <v>114300</v>
      </c>
      <c r="E9" s="18">
        <v>114263</v>
      </c>
      <c r="F9" s="18">
        <v>114401</v>
      </c>
      <c r="G9" s="18">
        <v>46251970</v>
      </c>
      <c r="H9" s="18">
        <v>370</v>
      </c>
      <c r="I9" s="18" t="s">
        <v>70</v>
      </c>
      <c r="J9" s="18" t="s">
        <v>71</v>
      </c>
      <c r="K9" s="18"/>
      <c r="L9" s="18"/>
      <c r="M9" s="18"/>
    </row>
    <row r="10" spans="1:36" ht="12.75" customHeight="1">
      <c r="A10" t="s">
        <v>115</v>
      </c>
      <c r="B10" s="18">
        <v>-0.55000000000000004</v>
      </c>
      <c r="C10" s="18">
        <v>35496.53</v>
      </c>
      <c r="D10" s="18">
        <v>113150</v>
      </c>
      <c r="E10" s="18">
        <v>113140</v>
      </c>
      <c r="F10" s="18">
        <v>113140</v>
      </c>
      <c r="G10" s="18">
        <v>9895537408.9799995</v>
      </c>
      <c r="H10" s="18">
        <v>27719</v>
      </c>
      <c r="I10" s="18" t="s">
        <v>70</v>
      </c>
      <c r="J10" s="18" t="s">
        <v>69</v>
      </c>
      <c r="K10" s="18"/>
      <c r="L10" s="18"/>
      <c r="M10" s="18"/>
    </row>
    <row r="11" spans="1:36" ht="12.75" customHeight="1">
      <c r="A11" t="s">
        <v>116</v>
      </c>
      <c r="B11" s="18">
        <v>0.06</v>
      </c>
      <c r="C11" s="18">
        <v>5896.55</v>
      </c>
      <c r="D11" s="18">
        <v>29021</v>
      </c>
      <c r="E11" s="18">
        <v>29020</v>
      </c>
      <c r="F11" s="18">
        <v>29020</v>
      </c>
      <c r="G11" s="18">
        <v>2422965435</v>
      </c>
      <c r="H11" s="18">
        <v>20648</v>
      </c>
      <c r="I11" s="18" t="s">
        <v>70</v>
      </c>
      <c r="J11" s="18" t="s">
        <v>71</v>
      </c>
      <c r="K11" s="18"/>
      <c r="L11" s="18"/>
      <c r="M11" s="18"/>
    </row>
    <row r="12" spans="1:36" ht="12.75" customHeight="1">
      <c r="A12" t="s">
        <v>117</v>
      </c>
      <c r="B12" s="18">
        <v>0.71</v>
      </c>
      <c r="C12" s="18">
        <v>13586.37</v>
      </c>
      <c r="D12" s="18">
        <v>89786</v>
      </c>
      <c r="E12" s="18">
        <v>89785</v>
      </c>
      <c r="F12" s="4">
        <v>89786</v>
      </c>
      <c r="G12" s="18">
        <v>95017421859</v>
      </c>
      <c r="H12" s="18">
        <v>201768</v>
      </c>
      <c r="I12" s="18" t="s">
        <v>70</v>
      </c>
      <c r="J12" s="18" t="s">
        <v>71</v>
      </c>
      <c r="K12" s="18"/>
      <c r="L12" s="18"/>
      <c r="M12" s="18"/>
    </row>
    <row r="13" spans="1:36" ht="12.75" customHeight="1">
      <c r="A13" t="s">
        <v>118</v>
      </c>
      <c r="B13" s="18">
        <v>0.48</v>
      </c>
      <c r="C13" s="18">
        <v>1071.9100000000001</v>
      </c>
      <c r="D13" s="18">
        <v>12.529</v>
      </c>
      <c r="E13" s="18">
        <v>12.528</v>
      </c>
      <c r="F13" s="18">
        <v>12.528</v>
      </c>
      <c r="G13" s="18">
        <v>62173300110</v>
      </c>
      <c r="H13" s="18">
        <v>87439</v>
      </c>
      <c r="I13" s="18" t="s">
        <v>70</v>
      </c>
      <c r="J13" s="18" t="s">
        <v>71</v>
      </c>
      <c r="K13" s="18"/>
      <c r="L13" s="18"/>
      <c r="M13" s="18"/>
    </row>
    <row r="14" spans="1:36" ht="12.75" customHeight="1">
      <c r="C14" s="2"/>
    </row>
    <row r="15" spans="1:36" ht="12.75" customHeight="1">
      <c r="A15" t="s">
        <v>76</v>
      </c>
      <c r="B15">
        <v>-0.36</v>
      </c>
      <c r="C15" s="2">
        <v>1.1115999999999999</v>
      </c>
      <c r="D15">
        <v>1.1115999999999999</v>
      </c>
      <c r="E15">
        <v>1.1116999999999999</v>
      </c>
      <c r="F15">
        <v>3521</v>
      </c>
      <c r="G15">
        <v>2739.79</v>
      </c>
      <c r="H15" t="s">
        <v>30</v>
      </c>
      <c r="I15">
        <v>2739.2</v>
      </c>
      <c r="N15" s="22" t="s">
        <v>10</v>
      </c>
      <c r="O15" s="6">
        <f ca="1">NOW()</f>
        <v>45254.579872337963</v>
      </c>
    </row>
    <row r="16" spans="1:36" ht="12.75" customHeight="1">
      <c r="C16" s="2"/>
      <c r="N16" s="47">
        <v>1</v>
      </c>
      <c r="O16" s="48" t="str">
        <f t="array" ref="O16:P40">APlace(портфели!B2:B26,портфели!P2:P26)</f>
        <v>Пудовиков Андрей Дмитриевич</v>
      </c>
      <c r="P16" s="49">
        <v>100.06880931219358</v>
      </c>
    </row>
    <row r="17" spans="1:16" ht="12.75" customHeight="1">
      <c r="B17" s="18" t="str">
        <f>портфели!C1</f>
        <v>BR-12.23 [FORTS]</v>
      </c>
      <c r="C17" s="18" t="str">
        <f>портфели!D1</f>
        <v>GAZR-12.23 [FORTS]</v>
      </c>
      <c r="D17" s="18" t="str">
        <f>портфели!E1</f>
        <v>GMKN-12.23 [FORTS]</v>
      </c>
      <c r="E17" s="18" t="str">
        <f>портфели!F1</f>
        <v>GOLD-12.23 [FORTS]</v>
      </c>
      <c r="F17" s="18" t="str">
        <f>портфели!G1</f>
        <v>LKOH-12.23 [FORTS]</v>
      </c>
      <c r="G17" s="18" t="str">
        <f>портфели!H1</f>
        <v>NG-11.23 [FORTS]</v>
      </c>
      <c r="H17" s="18" t="str">
        <f>портфели!I1</f>
        <v>PLZL-12.23 [FORTS]</v>
      </c>
      <c r="I17" s="18" t="str">
        <f>портфели!J1</f>
        <v>RTS-12.23 [FORTS]</v>
      </c>
      <c r="J17" s="18" t="str">
        <f>портфели!K1</f>
        <v>SBRF-12.23 [FORTS]</v>
      </c>
      <c r="K17" s="18" t="str">
        <f>портфели!L1</f>
        <v>Si-12.23 [FORTS]</v>
      </c>
      <c r="L17" s="18" t="str">
        <f>портфели!M1</f>
        <v>CNY-12.23 [FORTS]</v>
      </c>
      <c r="N17" s="50">
        <v>2</v>
      </c>
      <c r="O17" s="51" t="str">
        <v>Викторов Антон Андреевич</v>
      </c>
      <c r="P17" s="52">
        <v>100.02966994000883</v>
      </c>
    </row>
    <row r="18" spans="1:16" ht="12.75" customHeight="1">
      <c r="A18" s="25" t="s">
        <v>11</v>
      </c>
      <c r="B18">
        <v>203101.69408410002</v>
      </c>
      <c r="C18">
        <v>3402.78</v>
      </c>
      <c r="D18">
        <v>17439.5</v>
      </c>
      <c r="E18">
        <v>148788.2779173</v>
      </c>
      <c r="F18">
        <v>69093.5</v>
      </c>
      <c r="G18">
        <v>7706121.13215</v>
      </c>
      <c r="H18">
        <v>35496.53</v>
      </c>
      <c r="I18">
        <v>23339.71</v>
      </c>
      <c r="J18">
        <v>5896.55</v>
      </c>
      <c r="K18">
        <v>13586.37</v>
      </c>
      <c r="L18">
        <v>1071910</v>
      </c>
      <c r="M18">
        <v>30.71</v>
      </c>
      <c r="N18" s="23">
        <v>3</v>
      </c>
      <c r="O18" s="24" t="str">
        <v>Боровко Никита Алексеевич</v>
      </c>
      <c r="P18" s="37">
        <v>100</v>
      </c>
    </row>
    <row r="19" spans="1:16" ht="12.75" customHeight="1">
      <c r="A19" s="25">
        <f ca="1">TODAY()</f>
        <v>45254</v>
      </c>
      <c r="B19" s="36">
        <f>C2*C12/1000</f>
        <v>203101.69408410002</v>
      </c>
      <c r="C19" s="35">
        <f>C3</f>
        <v>3402.78</v>
      </c>
      <c r="D19">
        <f>(D4+E4)/2</f>
        <v>17427.5</v>
      </c>
      <c r="E19">
        <f>C5*C12/1000</f>
        <v>148788.2779173</v>
      </c>
      <c r="F19" s="35">
        <f>(D6+E6)/2</f>
        <v>69114</v>
      </c>
      <c r="G19" s="35">
        <f>C7*C12/10</f>
        <v>7706121.13215</v>
      </c>
      <c r="H19" s="35">
        <f>C10</f>
        <v>35496.53</v>
      </c>
      <c r="I19" s="35">
        <f>C9</f>
        <v>23339.71</v>
      </c>
      <c r="J19" s="35">
        <f>C11</f>
        <v>5896.55</v>
      </c>
      <c r="K19" s="36">
        <f>C12</f>
        <v>13586.37</v>
      </c>
      <c r="L19" s="35">
        <f>C13*1000</f>
        <v>1071910</v>
      </c>
      <c r="M19">
        <v>30.71</v>
      </c>
      <c r="N19" s="23">
        <v>4</v>
      </c>
      <c r="O19" s="24" t="str">
        <v>Арифуллин Артур Исхакович</v>
      </c>
      <c r="P19" s="37">
        <v>100</v>
      </c>
    </row>
    <row r="20" spans="1:16" ht="12.75" customHeight="1">
      <c r="A20" s="25"/>
      <c r="N20" s="23">
        <v>5</v>
      </c>
      <c r="O20" s="24" t="str">
        <v>Кадерова Надия Ренатовна</v>
      </c>
      <c r="P20" s="37">
        <v>100</v>
      </c>
    </row>
    <row r="21" spans="1:16" ht="12.75" customHeight="1">
      <c r="A21" s="25"/>
      <c r="C21" s="2"/>
      <c r="N21" s="23">
        <v>6</v>
      </c>
      <c r="O21" s="24" t="str">
        <v>Карпов Кирилл Михайлович</v>
      </c>
      <c r="P21" s="37">
        <v>100</v>
      </c>
    </row>
    <row r="22" spans="1:16" ht="12.75" customHeight="1">
      <c r="A22" s="25"/>
      <c r="B22" s="43">
        <f>B19/B18-1</f>
        <v>0</v>
      </c>
      <c r="C22" s="43">
        <f t="shared" ref="C22:L22" si="0">C19/C18-1</f>
        <v>0</v>
      </c>
      <c r="D22" s="43">
        <f t="shared" si="0"/>
        <v>-6.8809312193585104E-4</v>
      </c>
      <c r="E22" s="43">
        <f t="shared" si="0"/>
        <v>0</v>
      </c>
      <c r="F22" s="43">
        <f t="shared" si="0"/>
        <v>2.9669940008836271E-4</v>
      </c>
      <c r="G22" s="43">
        <f t="shared" si="0"/>
        <v>0</v>
      </c>
      <c r="H22" s="43">
        <f t="shared" si="0"/>
        <v>0</v>
      </c>
      <c r="I22" s="43">
        <f t="shared" si="0"/>
        <v>0</v>
      </c>
      <c r="J22" s="43">
        <f t="shared" si="0"/>
        <v>0</v>
      </c>
      <c r="K22" s="43">
        <f t="shared" si="0"/>
        <v>0</v>
      </c>
      <c r="L22" s="43">
        <f t="shared" si="0"/>
        <v>0</v>
      </c>
      <c r="N22" s="23">
        <v>7</v>
      </c>
      <c r="O22" s="24" t="str">
        <v>Ладысева Алина Александровна</v>
      </c>
      <c r="P22" s="37">
        <v>100</v>
      </c>
    </row>
    <row r="23" spans="1:16" ht="12.75" customHeight="1">
      <c r="A23" s="25"/>
      <c r="C23" s="2"/>
      <c r="N23" s="23">
        <v>8</v>
      </c>
      <c r="O23" s="24" t="str">
        <v xml:space="preserve">Мазур Анастасия Вадимовна </v>
      </c>
      <c r="P23" s="37">
        <v>100</v>
      </c>
    </row>
    <row r="24" spans="1:16" ht="12.75" customHeight="1">
      <c r="C24" s="2"/>
      <c r="N24" s="23">
        <v>9</v>
      </c>
      <c r="O24" s="24" t="str">
        <v>Навалихин Александр Ильич</v>
      </c>
      <c r="P24" s="37">
        <v>100</v>
      </c>
    </row>
    <row r="25" spans="1:16" ht="12.75" customHeight="1">
      <c r="C25" s="2"/>
      <c r="N25" s="23">
        <v>10</v>
      </c>
      <c r="O25" s="24" t="str">
        <v>Низов Александр Сергеевич</v>
      </c>
      <c r="P25" s="37">
        <v>100</v>
      </c>
    </row>
    <row r="26" spans="1:16" ht="12.75" customHeight="1">
      <c r="C26" s="2"/>
      <c r="N26" s="23">
        <v>11</v>
      </c>
      <c r="O26" s="24" t="str">
        <v>Оганисян Эдгар Гагикович</v>
      </c>
      <c r="P26" s="37">
        <v>100</v>
      </c>
    </row>
    <row r="27" spans="1:16" ht="12.75" customHeight="1">
      <c r="C27" s="2"/>
      <c r="N27" s="23">
        <v>12</v>
      </c>
      <c r="O27" s="24" t="str">
        <v>Осипов Денис Михайлович</v>
      </c>
      <c r="P27" s="37">
        <v>100</v>
      </c>
    </row>
    <row r="28" spans="1:16" ht="12.75" customHeight="1">
      <c r="C28" s="2"/>
      <c r="N28" s="23">
        <v>13</v>
      </c>
      <c r="O28" s="24" t="str">
        <v>Пикуров Даниил Сергеевич</v>
      </c>
      <c r="P28" s="37">
        <v>100</v>
      </c>
    </row>
    <row r="29" spans="1:16" ht="12.75" customHeight="1">
      <c r="C29" s="2"/>
      <c r="N29" s="23">
        <v>14</v>
      </c>
      <c r="O29" s="24" t="str">
        <v>Андрианов Владислав Дмитриевич</v>
      </c>
      <c r="P29" s="37">
        <v>100</v>
      </c>
    </row>
    <row r="30" spans="1:16" ht="12.75" customHeight="1">
      <c r="C30" s="2"/>
      <c r="N30" s="23">
        <v>15</v>
      </c>
      <c r="O30" s="24" t="str">
        <v>Рачков Денис Сергеевич</v>
      </c>
      <c r="P30" s="37">
        <v>100</v>
      </c>
    </row>
    <row r="31" spans="1:16" ht="12.75" customHeight="1">
      <c r="C31" s="2"/>
      <c r="N31" s="23">
        <v>16</v>
      </c>
      <c r="O31" s="24" t="str">
        <v>Селюшкина Наталья Евгеньевна</v>
      </c>
      <c r="P31" s="37">
        <v>100</v>
      </c>
    </row>
    <row r="32" spans="1:16" ht="12.75" customHeight="1">
      <c r="C32" s="2"/>
      <c r="N32" s="23">
        <v>17</v>
      </c>
      <c r="O32" s="24" t="str">
        <v>Смирнов Иван Сергеевич</v>
      </c>
      <c r="P32" s="37">
        <v>100</v>
      </c>
    </row>
    <row r="33" spans="3:16" ht="12.75" customHeight="1">
      <c r="C33" s="2"/>
      <c r="N33" s="23">
        <v>18</v>
      </c>
      <c r="O33" s="24" t="str">
        <v>Тижин Никита Романович</v>
      </c>
      <c r="P33" s="37">
        <v>100</v>
      </c>
    </row>
    <row r="34" spans="3:16" ht="12.75" customHeight="1">
      <c r="C34" s="2"/>
      <c r="N34" s="26">
        <v>19</v>
      </c>
      <c r="O34" s="27" t="str">
        <v>Хорошев Олег Евгеньевич</v>
      </c>
      <c r="P34" s="38">
        <v>100</v>
      </c>
    </row>
    <row r="35" spans="3:16" ht="12.75" customHeight="1">
      <c r="C35" s="2"/>
      <c r="N35" s="23">
        <v>20</v>
      </c>
      <c r="O35" s="24" t="str">
        <v>Хоружев Илья Максимович</v>
      </c>
      <c r="P35" s="37">
        <v>100</v>
      </c>
    </row>
    <row r="36" spans="3:16" ht="12.75" customHeight="1">
      <c r="C36" s="2"/>
      <c r="N36" s="23">
        <v>21</v>
      </c>
      <c r="O36" s="24" t="str">
        <v>Чевилев Никита Вячеславович</v>
      </c>
      <c r="P36" s="37">
        <v>100</v>
      </c>
    </row>
    <row r="37" spans="3:16" ht="12.75" customHeight="1">
      <c r="C37" s="2"/>
      <c r="N37" s="26">
        <v>22</v>
      </c>
      <c r="O37" s="27" t="str">
        <v>Шурыгин Всеволод Евгеньевич</v>
      </c>
      <c r="P37" s="38">
        <v>100</v>
      </c>
    </row>
    <row r="38" spans="3:16" ht="12.75" customHeight="1">
      <c r="C38" s="2"/>
      <c r="N38" s="26">
        <v>23</v>
      </c>
      <c r="O38" s="24" t="str">
        <v>Шустова Екатерина Дмитриевна</v>
      </c>
      <c r="P38" s="37">
        <v>100</v>
      </c>
    </row>
    <row r="39" spans="3:16" ht="12.75" customHeight="1">
      <c r="C39" s="2"/>
      <c r="N39" s="50">
        <v>24</v>
      </c>
      <c r="O39" s="53" t="str">
        <v>Риве Алина Адриановна</v>
      </c>
      <c r="P39" s="54">
        <v>99.97033005999117</v>
      </c>
    </row>
    <row r="40" spans="3:16" ht="12.75" customHeight="1">
      <c r="C40" s="2"/>
      <c r="N40" s="23">
        <v>25</v>
      </c>
      <c r="O40" s="24" t="str">
        <v>Болотин Данила Александрович</v>
      </c>
      <c r="P40" s="37">
        <v>99.931190687806421</v>
      </c>
    </row>
    <row r="41" spans="3:16" ht="12.75" customHeight="1">
      <c r="C41" s="2"/>
      <c r="N41" s="26">
        <v>26</v>
      </c>
      <c r="O41" s="24"/>
      <c r="P41" s="37"/>
    </row>
    <row r="42" spans="3:16" ht="12.75" customHeight="1">
      <c r="C42" s="2"/>
      <c r="N42" s="26">
        <v>27</v>
      </c>
      <c r="O42" s="27"/>
      <c r="P42" s="38"/>
    </row>
    <row r="43" spans="3:16" ht="12.75" customHeight="1">
      <c r="C43" s="2"/>
      <c r="N43" s="23">
        <v>28</v>
      </c>
      <c r="O43" s="24"/>
      <c r="P43" s="37"/>
    </row>
    <row r="44" spans="3:16" ht="12.75" customHeight="1">
      <c r="C44" s="2"/>
      <c r="N44" s="23">
        <v>29</v>
      </c>
      <c r="O44" s="27"/>
      <c r="P44" s="38"/>
    </row>
    <row r="45" spans="3:16" ht="12.75" customHeight="1">
      <c r="C45" s="2"/>
      <c r="O45" s="24"/>
      <c r="P45" s="37"/>
    </row>
    <row r="46" spans="3:16" ht="12.75" customHeight="1">
      <c r="C46" s="2"/>
      <c r="O46" s="24"/>
      <c r="P46" s="37"/>
    </row>
    <row r="47" spans="3:16" ht="12.75" customHeight="1">
      <c r="C47" s="2"/>
      <c r="O47" s="27"/>
      <c r="P47" s="38"/>
    </row>
    <row r="48" spans="3:16" ht="12.75" customHeight="1">
      <c r="C48" s="2"/>
    </row>
    <row r="49" spans="2:3" ht="12.75" customHeight="1">
      <c r="C49" s="2"/>
    </row>
    <row r="50" spans="2:3" ht="12.75" customHeight="1">
      <c r="C50" s="2"/>
    </row>
    <row r="51" spans="2:3" ht="12.75" customHeight="1">
      <c r="B51" s="2"/>
      <c r="C51" s="2"/>
    </row>
    <row r="52" spans="2:3" ht="12.75" customHeight="1">
      <c r="C52" s="2"/>
    </row>
    <row r="53" spans="2:3" ht="12.75" customHeight="1">
      <c r="C53" s="2"/>
    </row>
    <row r="54" spans="2:3" ht="12.75" customHeight="1">
      <c r="C54" s="2"/>
    </row>
    <row r="55" spans="2:3" ht="12.75" customHeight="1">
      <c r="C55" s="2"/>
    </row>
    <row r="56" spans="2:3" ht="12.75" customHeight="1">
      <c r="C56" s="2"/>
    </row>
    <row r="57" spans="2:3" ht="12.75" customHeight="1">
      <c r="C57" s="2"/>
    </row>
    <row r="58" spans="2:3" ht="12.75" customHeight="1">
      <c r="C58" s="2"/>
    </row>
    <row r="59" spans="2:3" ht="12.75" customHeight="1">
      <c r="C59" s="2"/>
    </row>
    <row r="60" spans="2:3" ht="12.75" customHeight="1">
      <c r="C60" s="2"/>
    </row>
    <row r="61" spans="2:3" ht="12.75" customHeight="1">
      <c r="C61" s="2"/>
    </row>
    <row r="62" spans="2:3" ht="12.75" customHeight="1">
      <c r="C62" s="2"/>
    </row>
    <row r="63" spans="2:3" ht="12.75" customHeight="1">
      <c r="C63" s="2"/>
    </row>
    <row r="64" spans="2:3" ht="12.75" customHeight="1">
      <c r="C64" s="2"/>
    </row>
    <row r="65" spans="3:3" ht="12.75" customHeight="1">
      <c r="C65" s="2"/>
    </row>
    <row r="66" spans="3:3" ht="12.75" customHeight="1">
      <c r="C66" s="2"/>
    </row>
    <row r="67" spans="3:3" ht="12.75" customHeight="1">
      <c r="C67" s="2"/>
    </row>
    <row r="68" spans="3:3" ht="12.75" customHeight="1">
      <c r="C68" s="2"/>
    </row>
    <row r="69" spans="3:3" ht="12.75" customHeight="1">
      <c r="C69" s="2"/>
    </row>
    <row r="70" spans="3:3" ht="12.75" customHeight="1">
      <c r="C70" s="2"/>
    </row>
    <row r="71" spans="3:3" ht="12.75" customHeight="1">
      <c r="C71" s="2"/>
    </row>
    <row r="72" spans="3:3" ht="12.75" customHeight="1">
      <c r="C72" s="2"/>
    </row>
    <row r="73" spans="3:3" ht="12.75" customHeight="1">
      <c r="C73" s="2"/>
    </row>
    <row r="74" spans="3:3" ht="12.75" customHeight="1">
      <c r="C74" s="2"/>
    </row>
    <row r="75" spans="3:3" ht="12.75" customHeight="1">
      <c r="C75" s="2"/>
    </row>
    <row r="76" spans="3:3" ht="12.75" customHeight="1">
      <c r="C76" s="2"/>
    </row>
    <row r="77" spans="3:3" ht="12.75" customHeight="1">
      <c r="C77" s="2"/>
    </row>
    <row r="78" spans="3:3" ht="12.75" customHeight="1">
      <c r="C78" s="2"/>
    </row>
    <row r="79" spans="3:3" ht="12.75" customHeight="1">
      <c r="C79" s="2"/>
    </row>
    <row r="80" spans="3:3" ht="12.75" customHeight="1">
      <c r="C80" s="2"/>
    </row>
    <row r="81" spans="3:3" ht="12.75" customHeight="1">
      <c r="C81" s="2"/>
    </row>
    <row r="82" spans="3:3" ht="12.75" customHeight="1">
      <c r="C82" s="2"/>
    </row>
    <row r="83" spans="3:3" ht="12.75" customHeight="1">
      <c r="C83" s="2"/>
    </row>
    <row r="84" spans="3:3" ht="12.75" customHeight="1">
      <c r="C84" s="2"/>
    </row>
    <row r="85" spans="3:3" ht="12.75" customHeight="1">
      <c r="C85" s="2"/>
    </row>
    <row r="86" spans="3:3" ht="12.75" customHeight="1">
      <c r="C86" s="2"/>
    </row>
    <row r="87" spans="3:3" ht="12.75" customHeight="1">
      <c r="C87" s="2"/>
    </row>
    <row r="88" spans="3:3" ht="12.75" customHeight="1">
      <c r="C88" s="2"/>
    </row>
    <row r="89" spans="3:3" ht="12.75" customHeight="1">
      <c r="C89" s="2"/>
    </row>
    <row r="90" spans="3:3" ht="12.75" customHeight="1">
      <c r="C90" s="2"/>
    </row>
    <row r="91" spans="3:3" ht="12.75" customHeight="1">
      <c r="C91" s="2"/>
    </row>
    <row r="92" spans="3:3" ht="12.75" customHeight="1">
      <c r="C92" s="2"/>
    </row>
    <row r="93" spans="3:3" ht="12.75" customHeight="1">
      <c r="C93" s="2"/>
    </row>
    <row r="94" spans="3:3" ht="12.75" customHeight="1">
      <c r="C94" s="2"/>
    </row>
    <row r="95" spans="3:3" ht="12.75" customHeight="1">
      <c r="C95" s="2"/>
    </row>
    <row r="96" spans="3:3" ht="12.75" customHeight="1">
      <c r="C96" s="2"/>
    </row>
    <row r="97" spans="3:3" ht="12.75" customHeight="1">
      <c r="C97" s="2"/>
    </row>
    <row r="98" spans="3:3" ht="12.75" customHeight="1">
      <c r="C98" s="2"/>
    </row>
    <row r="99" spans="3:3" ht="12.75" customHeight="1">
      <c r="C99" s="2"/>
    </row>
    <row r="100" spans="3:3" ht="12.75" customHeight="1">
      <c r="C100" s="2"/>
    </row>
    <row r="101" spans="3:3" ht="12.75" customHeight="1">
      <c r="C101" s="2"/>
    </row>
    <row r="102" spans="3:3" ht="12.75" customHeight="1">
      <c r="C102" s="2"/>
    </row>
    <row r="103" spans="3:3" ht="12.75" customHeight="1">
      <c r="C103" s="2"/>
    </row>
    <row r="104" spans="3:3" ht="12.75" customHeight="1">
      <c r="C104" s="2"/>
    </row>
    <row r="105" spans="3:3" ht="12.75" customHeight="1">
      <c r="C105" s="2"/>
    </row>
    <row r="106" spans="3:3" ht="12.75" customHeight="1">
      <c r="C106" s="2"/>
    </row>
    <row r="107" spans="3:3" ht="12.75" customHeight="1">
      <c r="C107" s="2"/>
    </row>
    <row r="108" spans="3:3" ht="12.75" customHeight="1">
      <c r="C108" s="2"/>
    </row>
    <row r="109" spans="3:3" ht="12.75" customHeight="1">
      <c r="C109" s="2"/>
    </row>
    <row r="110" spans="3:3" ht="12.75" customHeight="1">
      <c r="C110" s="2"/>
    </row>
    <row r="111" spans="3:3" ht="12.75" customHeight="1">
      <c r="C111" s="2"/>
    </row>
    <row r="112" spans="3:3" ht="12.75" customHeight="1">
      <c r="C112" s="2"/>
    </row>
    <row r="113" spans="3:3" ht="12.75" customHeight="1">
      <c r="C113" s="2"/>
    </row>
    <row r="114" spans="3:3" ht="12.75" customHeight="1">
      <c r="C114" s="2"/>
    </row>
    <row r="115" spans="3:3" ht="12.75" customHeight="1">
      <c r="C115" s="2"/>
    </row>
    <row r="116" spans="3:3" ht="12.75" customHeight="1">
      <c r="C116" s="2"/>
    </row>
    <row r="117" spans="3:3" ht="12.75" customHeight="1">
      <c r="C117" s="2"/>
    </row>
    <row r="118" spans="3:3" ht="12.75" customHeight="1">
      <c r="C118" s="2"/>
    </row>
    <row r="119" spans="3:3" ht="12.75" customHeight="1">
      <c r="C119" s="2"/>
    </row>
    <row r="120" spans="3:3" ht="12.75" customHeight="1">
      <c r="C120" s="2"/>
    </row>
    <row r="121" spans="3:3" ht="12.75" customHeight="1">
      <c r="C121" s="2"/>
    </row>
    <row r="122" spans="3:3" ht="12.75" customHeight="1">
      <c r="C122" s="2"/>
    </row>
    <row r="123" spans="3:3" ht="12.75" customHeight="1">
      <c r="C123" s="2"/>
    </row>
    <row r="124" spans="3:3" ht="12.75" customHeight="1">
      <c r="C124" s="2"/>
    </row>
    <row r="125" spans="3:3" ht="12.75" customHeight="1">
      <c r="C125" s="2"/>
    </row>
    <row r="126" spans="3:3" ht="12.75" customHeight="1">
      <c r="C126" s="2"/>
    </row>
    <row r="127" spans="3:3" ht="12.75" customHeight="1">
      <c r="C127" s="2"/>
    </row>
    <row r="128" spans="3:3" ht="12.75" customHeight="1">
      <c r="C128" s="2"/>
    </row>
    <row r="129" spans="3:3" ht="12.75" customHeight="1">
      <c r="C129" s="2"/>
    </row>
    <row r="130" spans="3:3" ht="12.75" customHeight="1">
      <c r="C130" s="2"/>
    </row>
    <row r="131" spans="3:3" ht="12.75" customHeight="1">
      <c r="C131" s="2"/>
    </row>
    <row r="132" spans="3:3" ht="12.75" customHeight="1">
      <c r="C132" s="2"/>
    </row>
    <row r="133" spans="3:3" ht="12.75" customHeight="1">
      <c r="C133" s="2"/>
    </row>
    <row r="134" spans="3:3" ht="12.75" customHeight="1">
      <c r="C134" s="2"/>
    </row>
    <row r="135" spans="3:3" ht="12.75" customHeight="1">
      <c r="C135" s="2"/>
    </row>
    <row r="136" spans="3:3" ht="12.75" customHeight="1">
      <c r="C136" s="2"/>
    </row>
    <row r="137" spans="3:3" ht="12.75" customHeight="1">
      <c r="C137" s="2"/>
    </row>
    <row r="138" spans="3:3" ht="12.75" customHeight="1">
      <c r="C138" s="2"/>
    </row>
    <row r="139" spans="3:3" ht="12.75" customHeight="1">
      <c r="C139" s="2"/>
    </row>
    <row r="140" spans="3:3" ht="12.75" customHeight="1">
      <c r="C140" s="2"/>
    </row>
    <row r="141" spans="3:3" ht="12.75" customHeight="1">
      <c r="C141" s="2"/>
    </row>
    <row r="142" spans="3:3" ht="12.75" customHeight="1">
      <c r="C142" s="2"/>
    </row>
    <row r="143" spans="3:3" ht="12.75" customHeight="1">
      <c r="C143" s="2"/>
    </row>
    <row r="144" spans="3:3" ht="12.75" customHeight="1">
      <c r="C144" s="2"/>
    </row>
    <row r="145" spans="3:3" ht="12.75" customHeight="1">
      <c r="C145" s="2"/>
    </row>
    <row r="146" spans="3:3" ht="12.75" customHeight="1">
      <c r="C146" s="2"/>
    </row>
    <row r="147" spans="3:3" ht="12.75" customHeight="1">
      <c r="C147" s="2"/>
    </row>
    <row r="148" spans="3:3" ht="12.75" customHeight="1">
      <c r="C148" s="2"/>
    </row>
    <row r="149" spans="3:3" ht="12.75" customHeight="1">
      <c r="C149" s="2"/>
    </row>
    <row r="150" spans="3:3" ht="12.75" customHeight="1">
      <c r="C150" s="2"/>
    </row>
    <row r="151" spans="3:3" ht="12.75" customHeight="1">
      <c r="C151" s="2"/>
    </row>
    <row r="152" spans="3:3" ht="12.75" customHeight="1">
      <c r="C152" s="2"/>
    </row>
    <row r="153" spans="3:3" ht="12.75" customHeight="1">
      <c r="C153" s="2"/>
    </row>
    <row r="154" spans="3:3" ht="12.75" customHeight="1">
      <c r="C154" s="2"/>
    </row>
    <row r="155" spans="3:3" ht="12.75" customHeight="1">
      <c r="C155" s="2"/>
    </row>
    <row r="156" spans="3:3" ht="12.75" customHeight="1">
      <c r="C156" s="2"/>
    </row>
    <row r="157" spans="3:3" ht="12.75" customHeight="1">
      <c r="C157" s="2"/>
    </row>
    <row r="158" spans="3:3" ht="12.75" customHeight="1">
      <c r="C158" s="2"/>
    </row>
    <row r="159" spans="3:3" ht="12.75" customHeight="1">
      <c r="C159" s="2"/>
    </row>
    <row r="160" spans="3:3" ht="12.75" customHeight="1">
      <c r="C160" s="2"/>
    </row>
    <row r="161" spans="3:3" ht="12.75" customHeight="1">
      <c r="C161" s="2"/>
    </row>
    <row r="162" spans="3:3" ht="12.75" customHeight="1">
      <c r="C162" s="2"/>
    </row>
    <row r="163" spans="3:3" ht="12.75" customHeight="1">
      <c r="C163" s="2"/>
    </row>
    <row r="164" spans="3:3" ht="12.75" customHeight="1">
      <c r="C164" s="2"/>
    </row>
    <row r="165" spans="3:3" ht="12.75" customHeight="1">
      <c r="C165" s="2"/>
    </row>
    <row r="166" spans="3:3" ht="12.75" customHeight="1">
      <c r="C166" s="2"/>
    </row>
    <row r="167" spans="3:3" ht="12.75" customHeight="1">
      <c r="C167" s="2"/>
    </row>
    <row r="168" spans="3:3" ht="12.75" customHeight="1">
      <c r="C168" s="2"/>
    </row>
    <row r="169" spans="3:3" ht="12.75" customHeight="1">
      <c r="C169" s="2"/>
    </row>
    <row r="170" spans="3:3" ht="12.75" customHeight="1">
      <c r="C170" s="2"/>
    </row>
    <row r="171" spans="3:3" ht="12.75" customHeight="1">
      <c r="C171" s="2"/>
    </row>
    <row r="172" spans="3:3" ht="12.75" customHeight="1">
      <c r="C172" s="2"/>
    </row>
    <row r="173" spans="3:3" ht="12.75" customHeight="1">
      <c r="C173" s="2"/>
    </row>
    <row r="174" spans="3:3" ht="12.75" customHeight="1">
      <c r="C174" s="2"/>
    </row>
    <row r="175" spans="3:3" ht="12.75" customHeight="1">
      <c r="C175" s="2"/>
    </row>
    <row r="176" spans="3:3" ht="12.75" customHeight="1">
      <c r="C176" s="2"/>
    </row>
    <row r="177" spans="3:3" ht="12.75" customHeight="1">
      <c r="C177" s="2"/>
    </row>
    <row r="178" spans="3:3" ht="12.75" customHeight="1">
      <c r="C178" s="2"/>
    </row>
    <row r="179" spans="3:3" ht="12.75" customHeight="1">
      <c r="C179" s="2"/>
    </row>
    <row r="180" spans="3:3" ht="12.75" customHeight="1">
      <c r="C180" s="2"/>
    </row>
    <row r="181" spans="3:3" ht="12.75" customHeight="1">
      <c r="C181" s="2"/>
    </row>
    <row r="182" spans="3:3" ht="12.75" customHeight="1">
      <c r="C182" s="2"/>
    </row>
    <row r="183" spans="3:3" ht="12.75" customHeight="1">
      <c r="C183" s="2"/>
    </row>
    <row r="184" spans="3:3" ht="12.75" customHeight="1">
      <c r="C184" s="2"/>
    </row>
    <row r="185" spans="3:3" ht="12.75" customHeight="1">
      <c r="C185" s="2"/>
    </row>
    <row r="186" spans="3:3" ht="12.75" customHeight="1">
      <c r="C186" s="2"/>
    </row>
    <row r="187" spans="3:3" ht="12.75" customHeight="1">
      <c r="C187" s="2"/>
    </row>
    <row r="188" spans="3:3" ht="12.75" customHeight="1">
      <c r="C188" s="2"/>
    </row>
    <row r="189" spans="3:3" ht="12.75" customHeight="1">
      <c r="C189" s="2"/>
    </row>
    <row r="190" spans="3:3" ht="12.75" customHeight="1">
      <c r="C190" s="2"/>
    </row>
    <row r="191" spans="3:3" ht="12.75" customHeight="1">
      <c r="C191" s="2"/>
    </row>
    <row r="192" spans="3:3" ht="12.75" customHeight="1">
      <c r="C192" s="2"/>
    </row>
    <row r="193" spans="3:3" ht="12.75" customHeight="1">
      <c r="C193" s="2"/>
    </row>
    <row r="194" spans="3:3" ht="12.75" customHeight="1">
      <c r="C194" s="2"/>
    </row>
    <row r="195" spans="3:3" ht="12.75" customHeight="1">
      <c r="C195" s="2"/>
    </row>
    <row r="196" spans="3:3" ht="12.75" customHeight="1">
      <c r="C196" s="2"/>
    </row>
    <row r="197" spans="3:3" ht="12.75" customHeight="1">
      <c r="C197" s="2"/>
    </row>
    <row r="198" spans="3:3" ht="12.75" customHeight="1">
      <c r="C198" s="2"/>
    </row>
    <row r="199" spans="3:3" ht="12.75" customHeight="1">
      <c r="C199" s="2"/>
    </row>
    <row r="200" spans="3:3" ht="12.75" customHeight="1">
      <c r="C200" s="2"/>
    </row>
    <row r="201" spans="3:3" ht="12.75" customHeight="1">
      <c r="C201" s="2"/>
    </row>
    <row r="202" spans="3:3" ht="12.75" customHeight="1">
      <c r="C202" s="2"/>
    </row>
    <row r="203" spans="3:3" ht="12.75" customHeight="1">
      <c r="C203" s="2"/>
    </row>
    <row r="204" spans="3:3" ht="12.75" customHeight="1">
      <c r="C204" s="2"/>
    </row>
    <row r="205" spans="3:3" ht="12.75" customHeight="1">
      <c r="C205" s="2"/>
    </row>
    <row r="206" spans="3:3" ht="12.75" customHeight="1">
      <c r="C206" s="2"/>
    </row>
    <row r="207" spans="3:3" ht="12.75" customHeight="1">
      <c r="C207" s="2"/>
    </row>
    <row r="208" spans="3:3" ht="12.75" customHeight="1">
      <c r="C208" s="2"/>
    </row>
    <row r="209" spans="3:3" ht="12.75" customHeight="1">
      <c r="C209" s="2"/>
    </row>
    <row r="210" spans="3:3" ht="12.75" customHeight="1">
      <c r="C210" s="2"/>
    </row>
    <row r="211" spans="3:3" ht="12.75" customHeight="1">
      <c r="C211" s="2"/>
    </row>
    <row r="212" spans="3:3" ht="12.75" customHeight="1">
      <c r="C212" s="2"/>
    </row>
    <row r="213" spans="3:3" ht="12.75" customHeight="1">
      <c r="C213" s="2"/>
    </row>
    <row r="214" spans="3:3" ht="12.75" customHeight="1">
      <c r="C214" s="2"/>
    </row>
    <row r="215" spans="3:3" ht="12.75" customHeight="1">
      <c r="C215" s="2"/>
    </row>
    <row r="216" spans="3:3" ht="12.75" customHeight="1">
      <c r="C216" s="2"/>
    </row>
    <row r="217" spans="3:3" ht="12.75" customHeight="1">
      <c r="C217" s="2"/>
    </row>
    <row r="218" spans="3:3" ht="12.75" customHeight="1">
      <c r="C218" s="2"/>
    </row>
    <row r="219" spans="3:3" ht="12.75" customHeight="1">
      <c r="C219" s="2"/>
    </row>
    <row r="220" spans="3:3" ht="12.75" customHeight="1">
      <c r="C220" s="2"/>
    </row>
    <row r="221" spans="3:3" ht="12.75" customHeight="1">
      <c r="C221" s="2"/>
    </row>
    <row r="222" spans="3:3" ht="12.75" customHeight="1">
      <c r="C222" s="2"/>
    </row>
    <row r="223" spans="3:3" ht="12.75" customHeight="1">
      <c r="C223" s="2"/>
    </row>
    <row r="224" spans="3:3" ht="12.75" customHeight="1">
      <c r="C224" s="2"/>
    </row>
    <row r="225" spans="3:3" ht="12.75" customHeight="1">
      <c r="C225" s="2"/>
    </row>
    <row r="226" spans="3:3" ht="12.75" customHeight="1">
      <c r="C226" s="2"/>
    </row>
    <row r="227" spans="3:3" ht="12.75" customHeight="1">
      <c r="C227" s="2"/>
    </row>
    <row r="228" spans="3:3" ht="12.75" customHeight="1">
      <c r="C228" s="2"/>
    </row>
    <row r="229" spans="3:3" ht="12.75" customHeight="1">
      <c r="C229" s="2"/>
    </row>
    <row r="230" spans="3:3" ht="12.75" customHeight="1">
      <c r="C230" s="2"/>
    </row>
    <row r="231" spans="3:3" ht="12.75" customHeight="1">
      <c r="C231" s="2"/>
    </row>
    <row r="232" spans="3:3" ht="12.75" customHeight="1">
      <c r="C232" s="2"/>
    </row>
    <row r="233" spans="3:3" ht="12.75" customHeight="1">
      <c r="C233" s="2"/>
    </row>
    <row r="234" spans="3:3" ht="12.75" customHeight="1">
      <c r="C234" s="2"/>
    </row>
    <row r="235" spans="3:3" ht="12.75" customHeight="1">
      <c r="C235" s="2"/>
    </row>
    <row r="236" spans="3:3" ht="12.75" customHeight="1">
      <c r="C236" s="2"/>
    </row>
    <row r="237" spans="3:3" ht="12.75" customHeight="1">
      <c r="C237" s="2"/>
    </row>
    <row r="238" spans="3:3" ht="12.75" customHeight="1">
      <c r="C238" s="2"/>
    </row>
    <row r="239" spans="3:3" ht="12.75" customHeight="1">
      <c r="C239" s="2"/>
    </row>
    <row r="240" spans="3:3" ht="12.75" customHeight="1">
      <c r="C240" s="2"/>
    </row>
    <row r="241" spans="3:3" ht="12.75" customHeight="1">
      <c r="C241" s="2"/>
    </row>
    <row r="242" spans="3:3" ht="12.75" customHeight="1">
      <c r="C242" s="2"/>
    </row>
    <row r="243" spans="3:3" ht="12.75" customHeight="1">
      <c r="C243" s="2"/>
    </row>
    <row r="244" spans="3:3" ht="12.75" customHeight="1">
      <c r="C244" s="2"/>
    </row>
    <row r="245" spans="3:3" ht="12.75" customHeight="1">
      <c r="C245" s="2"/>
    </row>
    <row r="246" spans="3:3" ht="12.75" customHeight="1">
      <c r="C246" s="2"/>
    </row>
    <row r="247" spans="3:3" ht="12.75" customHeight="1">
      <c r="C247" s="2"/>
    </row>
    <row r="248" spans="3:3" ht="12.75" customHeight="1">
      <c r="C248" s="2"/>
    </row>
    <row r="249" spans="3:3" ht="12.75" customHeight="1">
      <c r="C249" s="2"/>
    </row>
    <row r="250" spans="3:3" ht="12.75" customHeight="1">
      <c r="C250" s="2"/>
    </row>
    <row r="251" spans="3:3" ht="12.75" customHeight="1">
      <c r="C251" s="2"/>
    </row>
    <row r="252" spans="3:3" ht="12.75" customHeight="1">
      <c r="C252" s="2"/>
    </row>
    <row r="253" spans="3:3" ht="12.75" customHeight="1">
      <c r="C253" s="2"/>
    </row>
    <row r="254" spans="3:3" ht="12.75" customHeight="1">
      <c r="C254" s="2"/>
    </row>
    <row r="255" spans="3:3" ht="12.75" customHeight="1">
      <c r="C255" s="2"/>
    </row>
    <row r="256" spans="3:3" ht="12.75" customHeight="1">
      <c r="C256" s="2"/>
    </row>
    <row r="257" spans="3:3" ht="12.75" customHeight="1">
      <c r="C257" s="2"/>
    </row>
    <row r="258" spans="3:3" ht="12.75" customHeight="1">
      <c r="C258" s="2"/>
    </row>
    <row r="259" spans="3:3" ht="12.75" customHeight="1">
      <c r="C259" s="2"/>
    </row>
    <row r="260" spans="3:3" ht="12.75" customHeight="1">
      <c r="C260" s="2"/>
    </row>
    <row r="261" spans="3:3" ht="12.75" customHeight="1">
      <c r="C261" s="2"/>
    </row>
    <row r="262" spans="3:3" ht="12.75" customHeight="1">
      <c r="C262" s="2"/>
    </row>
    <row r="263" spans="3:3" ht="12.75" customHeight="1">
      <c r="C263" s="2"/>
    </row>
    <row r="264" spans="3:3" ht="12.75" customHeight="1">
      <c r="C264" s="2"/>
    </row>
    <row r="265" spans="3:3" ht="12.75" customHeight="1">
      <c r="C265" s="2"/>
    </row>
    <row r="266" spans="3:3" ht="12.75" customHeight="1">
      <c r="C266" s="2"/>
    </row>
    <row r="267" spans="3:3" ht="12.75" customHeight="1">
      <c r="C267" s="2"/>
    </row>
    <row r="268" spans="3:3" ht="12.75" customHeight="1">
      <c r="C268" s="2"/>
    </row>
    <row r="269" spans="3:3" ht="12.75" customHeight="1">
      <c r="C269" s="2"/>
    </row>
    <row r="270" spans="3:3" ht="12.75" customHeight="1">
      <c r="C270" s="2"/>
    </row>
    <row r="271" spans="3:3" ht="12.75" customHeight="1">
      <c r="C271" s="2"/>
    </row>
    <row r="272" spans="3:3" ht="12.75" customHeight="1">
      <c r="C272" s="2"/>
    </row>
    <row r="273" spans="3:3" ht="12.75" customHeight="1">
      <c r="C273" s="2"/>
    </row>
    <row r="274" spans="3:3" ht="12.75" customHeight="1">
      <c r="C274" s="2"/>
    </row>
    <row r="275" spans="3:3" ht="12.75" customHeight="1">
      <c r="C275" s="2"/>
    </row>
    <row r="276" spans="3:3" ht="12.75" customHeight="1">
      <c r="C276" s="2"/>
    </row>
    <row r="277" spans="3:3" ht="12.75" customHeight="1">
      <c r="C277" s="2"/>
    </row>
    <row r="278" spans="3:3" ht="12.75" customHeight="1">
      <c r="C278" s="2"/>
    </row>
    <row r="279" spans="3:3" ht="12.75" customHeight="1">
      <c r="C279" s="2"/>
    </row>
    <row r="280" spans="3:3" ht="12.75" customHeight="1">
      <c r="C280" s="2"/>
    </row>
    <row r="281" spans="3:3" ht="12.75" customHeight="1">
      <c r="C281" s="2"/>
    </row>
    <row r="282" spans="3:3" ht="12.75" customHeight="1">
      <c r="C282" s="2"/>
    </row>
    <row r="283" spans="3:3" ht="12.75" customHeight="1">
      <c r="C283" s="2"/>
    </row>
    <row r="284" spans="3:3" ht="12.75" customHeight="1">
      <c r="C284" s="2"/>
    </row>
    <row r="285" spans="3:3" ht="12.75" customHeight="1">
      <c r="C285" s="2"/>
    </row>
    <row r="286" spans="3:3" ht="12.75" customHeight="1">
      <c r="C286" s="2"/>
    </row>
    <row r="287" spans="3:3" ht="12.75" customHeight="1">
      <c r="C287" s="2"/>
    </row>
    <row r="288" spans="3:3" ht="12.75" customHeight="1">
      <c r="C288" s="2"/>
    </row>
    <row r="289" spans="3:3" ht="12.75" customHeight="1">
      <c r="C289" s="2"/>
    </row>
    <row r="290" spans="3:3" ht="12.75" customHeight="1">
      <c r="C290" s="2"/>
    </row>
    <row r="291" spans="3:3" ht="12.75" customHeight="1">
      <c r="C291" s="2"/>
    </row>
    <row r="292" spans="3:3" ht="12.75" customHeight="1">
      <c r="C292" s="2"/>
    </row>
    <row r="293" spans="3:3" ht="12.75" customHeight="1">
      <c r="C293" s="2"/>
    </row>
    <row r="294" spans="3:3" ht="12.75" customHeight="1">
      <c r="C294" s="2"/>
    </row>
    <row r="295" spans="3:3" ht="12.75" customHeight="1">
      <c r="C295" s="2"/>
    </row>
    <row r="296" spans="3:3" ht="12.75" customHeight="1">
      <c r="C296" s="2"/>
    </row>
    <row r="297" spans="3:3" ht="12.75" customHeight="1">
      <c r="C297" s="2"/>
    </row>
    <row r="298" spans="3:3" ht="12.75" customHeight="1">
      <c r="C298" s="2"/>
    </row>
    <row r="299" spans="3:3" ht="12.75" customHeight="1">
      <c r="C299" s="2"/>
    </row>
    <row r="300" spans="3:3" ht="12.75" customHeight="1">
      <c r="C300" s="2"/>
    </row>
    <row r="301" spans="3:3" ht="12.75" customHeight="1">
      <c r="C301" s="2"/>
    </row>
    <row r="302" spans="3:3" ht="12.75" customHeight="1">
      <c r="C302" s="2"/>
    </row>
    <row r="303" spans="3:3" ht="12.75" customHeight="1">
      <c r="C303" s="2"/>
    </row>
    <row r="304" spans="3:3" ht="12.75" customHeight="1">
      <c r="C304" s="2"/>
    </row>
    <row r="305" spans="3:3" ht="12.75" customHeight="1">
      <c r="C305" s="2"/>
    </row>
    <row r="306" spans="3:3" ht="12.75" customHeight="1">
      <c r="C306" s="2"/>
    </row>
    <row r="307" spans="3:3" ht="12.75" customHeight="1">
      <c r="C307" s="2"/>
    </row>
    <row r="308" spans="3:3" ht="12.75" customHeight="1">
      <c r="C308" s="2"/>
    </row>
    <row r="309" spans="3:3" ht="12.75" customHeight="1">
      <c r="C309" s="2"/>
    </row>
    <row r="310" spans="3:3" ht="12.75" customHeight="1">
      <c r="C310" s="2"/>
    </row>
    <row r="311" spans="3:3" ht="12.75" customHeight="1">
      <c r="C311" s="2"/>
    </row>
    <row r="312" spans="3:3" ht="12.75" customHeight="1">
      <c r="C312" s="2"/>
    </row>
    <row r="313" spans="3:3" ht="12.75" customHeight="1">
      <c r="C313" s="2"/>
    </row>
    <row r="314" spans="3:3" ht="12.75" customHeight="1">
      <c r="C314" s="2"/>
    </row>
    <row r="315" spans="3:3" ht="12.75" customHeight="1">
      <c r="C315" s="2"/>
    </row>
    <row r="316" spans="3:3" ht="12.75" customHeight="1">
      <c r="C316" s="2"/>
    </row>
    <row r="317" spans="3:3" ht="12.75" customHeight="1">
      <c r="C317" s="2"/>
    </row>
    <row r="318" spans="3:3" ht="12.75" customHeight="1">
      <c r="C318" s="2"/>
    </row>
    <row r="319" spans="3:3" ht="12.75" customHeight="1">
      <c r="C319" s="2"/>
    </row>
    <row r="320" spans="3:3" ht="12.75" customHeight="1">
      <c r="C320" s="2"/>
    </row>
    <row r="321" spans="3:3" ht="12.75" customHeight="1">
      <c r="C321" s="2"/>
    </row>
    <row r="322" spans="3:3" ht="12.75" customHeight="1">
      <c r="C322" s="2"/>
    </row>
    <row r="323" spans="3:3" ht="12.75" customHeight="1">
      <c r="C323" s="2"/>
    </row>
    <row r="324" spans="3:3" ht="12.75" customHeight="1">
      <c r="C324" s="2"/>
    </row>
    <row r="325" spans="3:3" ht="12.75" customHeight="1">
      <c r="C325" s="2"/>
    </row>
    <row r="326" spans="3:3" ht="12.75" customHeight="1">
      <c r="C326" s="2"/>
    </row>
    <row r="327" spans="3:3" ht="12.75" customHeight="1">
      <c r="C327" s="2"/>
    </row>
    <row r="328" spans="3:3" ht="12.75" customHeight="1">
      <c r="C328" s="2"/>
    </row>
    <row r="329" spans="3:3" ht="12.75" customHeight="1">
      <c r="C329" s="2"/>
    </row>
    <row r="330" spans="3:3" ht="12.75" customHeight="1">
      <c r="C330" s="2"/>
    </row>
    <row r="331" spans="3:3" ht="12.75" customHeight="1">
      <c r="C331" s="2"/>
    </row>
    <row r="332" spans="3:3" ht="12.75" customHeight="1">
      <c r="C332" s="2"/>
    </row>
    <row r="333" spans="3:3" ht="12.75" customHeight="1">
      <c r="C333" s="2"/>
    </row>
    <row r="334" spans="3:3" ht="12.75" customHeight="1">
      <c r="C334" s="2"/>
    </row>
    <row r="335" spans="3:3" ht="12.75" customHeight="1">
      <c r="C335" s="2"/>
    </row>
    <row r="336" spans="3:3" ht="12.75" customHeight="1">
      <c r="C336" s="2"/>
    </row>
    <row r="337" spans="3:3" ht="12.75" customHeight="1">
      <c r="C337" s="2"/>
    </row>
    <row r="338" spans="3:3" ht="12.75" customHeight="1">
      <c r="C338" s="2"/>
    </row>
    <row r="339" spans="3:3" ht="12.75" customHeight="1">
      <c r="C339" s="2"/>
    </row>
    <row r="340" spans="3:3" ht="12.75" customHeight="1">
      <c r="C340" s="2"/>
    </row>
    <row r="341" spans="3:3" ht="12.75" customHeight="1">
      <c r="C341" s="2"/>
    </row>
    <row r="342" spans="3:3" ht="12.75" customHeight="1">
      <c r="C342" s="2"/>
    </row>
    <row r="343" spans="3:3" ht="12.75" customHeight="1">
      <c r="C343" s="2"/>
    </row>
    <row r="344" spans="3:3" ht="12.75" customHeight="1">
      <c r="C344" s="2"/>
    </row>
    <row r="345" spans="3:3" ht="12.75" customHeight="1">
      <c r="C345" s="2"/>
    </row>
    <row r="346" spans="3:3" ht="12.75" customHeight="1">
      <c r="C346" s="2"/>
    </row>
    <row r="347" spans="3:3" ht="12.75" customHeight="1">
      <c r="C347" s="2"/>
    </row>
    <row r="348" spans="3:3" ht="12.75" customHeight="1">
      <c r="C348" s="2"/>
    </row>
    <row r="349" spans="3:3" ht="12.75" customHeight="1">
      <c r="C349" s="2"/>
    </row>
    <row r="350" spans="3:3" ht="12.75" customHeight="1">
      <c r="C350" s="2"/>
    </row>
    <row r="351" spans="3:3" ht="12.75" customHeight="1">
      <c r="C351" s="2"/>
    </row>
    <row r="352" spans="3:3" ht="12.75" customHeight="1">
      <c r="C352" s="2"/>
    </row>
    <row r="353" spans="3:3" ht="12.75" customHeight="1">
      <c r="C353" s="2"/>
    </row>
    <row r="354" spans="3:3" ht="12.75" customHeight="1">
      <c r="C354" s="2"/>
    </row>
    <row r="355" spans="3:3" ht="12.75" customHeight="1">
      <c r="C355" s="2"/>
    </row>
    <row r="356" spans="3:3" ht="12.75" customHeight="1">
      <c r="C356" s="2"/>
    </row>
    <row r="357" spans="3:3" ht="12.75" customHeight="1">
      <c r="C357" s="2"/>
    </row>
    <row r="358" spans="3:3" ht="12.75" customHeight="1">
      <c r="C358" s="2"/>
    </row>
    <row r="359" spans="3:3" ht="12.75" customHeight="1">
      <c r="C359" s="2"/>
    </row>
    <row r="360" spans="3:3" ht="12.75" customHeight="1">
      <c r="C360" s="2"/>
    </row>
    <row r="361" spans="3:3" ht="12.75" customHeight="1">
      <c r="C361" s="2"/>
    </row>
    <row r="362" spans="3:3" ht="12.75" customHeight="1">
      <c r="C362" s="2"/>
    </row>
    <row r="363" spans="3:3" ht="12.75" customHeight="1">
      <c r="C363" s="2"/>
    </row>
    <row r="364" spans="3:3" ht="12.75" customHeight="1">
      <c r="C364" s="2"/>
    </row>
    <row r="365" spans="3:3" ht="12.75" customHeight="1">
      <c r="C365" s="2"/>
    </row>
    <row r="366" spans="3:3" ht="12.75" customHeight="1">
      <c r="C366" s="2"/>
    </row>
    <row r="367" spans="3:3" ht="12.75" customHeight="1">
      <c r="C367" s="2"/>
    </row>
    <row r="368" spans="3:3" ht="12.75" customHeight="1">
      <c r="C368" s="2"/>
    </row>
    <row r="369" spans="3:3" ht="12.75" customHeight="1">
      <c r="C369" s="2"/>
    </row>
    <row r="370" spans="3:3" ht="12.75" customHeight="1">
      <c r="C370" s="2"/>
    </row>
    <row r="371" spans="3:3" ht="12.75" customHeight="1">
      <c r="C371" s="2"/>
    </row>
    <row r="372" spans="3:3" ht="12.75" customHeight="1">
      <c r="C372" s="2"/>
    </row>
    <row r="373" spans="3:3" ht="12.75" customHeight="1">
      <c r="C373" s="2"/>
    </row>
    <row r="374" spans="3:3" ht="12.75" customHeight="1">
      <c r="C374" s="2"/>
    </row>
    <row r="375" spans="3:3" ht="12.75" customHeight="1">
      <c r="C375" s="2"/>
    </row>
    <row r="376" spans="3:3" ht="12.75" customHeight="1">
      <c r="C376" s="2"/>
    </row>
    <row r="377" spans="3:3" ht="12.75" customHeight="1">
      <c r="C377" s="2"/>
    </row>
    <row r="378" spans="3:3" ht="12.75" customHeight="1">
      <c r="C378" s="2"/>
    </row>
    <row r="379" spans="3:3" ht="12.75" customHeight="1">
      <c r="C379" s="2"/>
    </row>
    <row r="380" spans="3:3" ht="12.75" customHeight="1">
      <c r="C380" s="2"/>
    </row>
    <row r="381" spans="3:3" ht="12.75" customHeight="1">
      <c r="C381" s="2"/>
    </row>
    <row r="382" spans="3:3" ht="12.75" customHeight="1">
      <c r="C382" s="2"/>
    </row>
    <row r="383" spans="3:3" ht="12.75" customHeight="1">
      <c r="C383" s="2"/>
    </row>
    <row r="384" spans="3:3" ht="12.75" customHeight="1">
      <c r="C384" s="2"/>
    </row>
    <row r="385" spans="3:3" ht="12.75" customHeight="1">
      <c r="C385" s="2"/>
    </row>
    <row r="386" spans="3:3" ht="12.75" customHeight="1">
      <c r="C386" s="2"/>
    </row>
    <row r="387" spans="3:3" ht="12.75" customHeight="1">
      <c r="C387" s="2"/>
    </row>
    <row r="388" spans="3:3" ht="12.75" customHeight="1">
      <c r="C388" s="2"/>
    </row>
    <row r="389" spans="3:3" ht="12.75" customHeight="1">
      <c r="C389" s="2"/>
    </row>
    <row r="390" spans="3:3" ht="12.75" customHeight="1">
      <c r="C390" s="2"/>
    </row>
    <row r="391" spans="3:3" ht="12.75" customHeight="1">
      <c r="C391" s="2"/>
    </row>
    <row r="392" spans="3:3" ht="12.75" customHeight="1">
      <c r="C392" s="2"/>
    </row>
    <row r="393" spans="3:3" ht="12.75" customHeight="1">
      <c r="C393" s="2"/>
    </row>
    <row r="394" spans="3:3" ht="12.75" customHeight="1">
      <c r="C394" s="2"/>
    </row>
    <row r="395" spans="3:3" ht="12.75" customHeight="1">
      <c r="C395" s="2"/>
    </row>
    <row r="396" spans="3:3" ht="12.75" customHeight="1">
      <c r="C396" s="2"/>
    </row>
    <row r="397" spans="3:3" ht="12.75" customHeight="1">
      <c r="C397" s="2"/>
    </row>
    <row r="398" spans="3:3" ht="12.75" customHeight="1">
      <c r="C398" s="2"/>
    </row>
    <row r="399" spans="3:3" ht="12.75" customHeight="1">
      <c r="C399" s="2"/>
    </row>
    <row r="400" spans="3:3" ht="12.75" customHeight="1">
      <c r="C400" s="2"/>
    </row>
    <row r="401" spans="3:3" ht="12.75" customHeight="1">
      <c r="C401" s="2"/>
    </row>
    <row r="402" spans="3:3" ht="12.75" customHeight="1">
      <c r="C402" s="2"/>
    </row>
    <row r="403" spans="3:3" ht="12.75" customHeight="1">
      <c r="C403" s="2"/>
    </row>
    <row r="404" spans="3:3" ht="12.75" customHeight="1">
      <c r="C404" s="2"/>
    </row>
    <row r="405" spans="3:3" ht="12.75" customHeight="1">
      <c r="C405" s="2"/>
    </row>
    <row r="406" spans="3:3" ht="12.75" customHeight="1">
      <c r="C406" s="2"/>
    </row>
    <row r="407" spans="3:3" ht="12.75" customHeight="1">
      <c r="C407" s="2"/>
    </row>
    <row r="408" spans="3:3" ht="12.75" customHeight="1">
      <c r="C408" s="2"/>
    </row>
    <row r="409" spans="3:3" ht="12.75" customHeight="1">
      <c r="C409" s="2"/>
    </row>
    <row r="410" spans="3:3" ht="12.75" customHeight="1">
      <c r="C410" s="2"/>
    </row>
    <row r="411" spans="3:3" ht="12.75" customHeight="1">
      <c r="C411" s="2"/>
    </row>
    <row r="412" spans="3:3" ht="12.75" customHeight="1">
      <c r="C412" s="2"/>
    </row>
    <row r="413" spans="3:3" ht="12.75" customHeight="1">
      <c r="C413" s="2"/>
    </row>
    <row r="414" spans="3:3" ht="12.75" customHeight="1">
      <c r="C414" s="2"/>
    </row>
    <row r="415" spans="3:3" ht="12.75" customHeight="1">
      <c r="C415" s="2"/>
    </row>
    <row r="416" spans="3:3" ht="12.75" customHeight="1">
      <c r="C416" s="2"/>
    </row>
    <row r="417" spans="3:3" ht="12.75" customHeight="1">
      <c r="C417" s="2"/>
    </row>
    <row r="418" spans="3:3" ht="12.75" customHeight="1">
      <c r="C418" s="2"/>
    </row>
    <row r="419" spans="3:3" ht="12.75" customHeight="1">
      <c r="C419" s="2"/>
    </row>
    <row r="420" spans="3:3" ht="12.75" customHeight="1">
      <c r="C420" s="2"/>
    </row>
    <row r="421" spans="3:3" ht="12.75" customHeight="1">
      <c r="C421" s="2"/>
    </row>
    <row r="422" spans="3:3" ht="12.75" customHeight="1">
      <c r="C422" s="2"/>
    </row>
    <row r="423" spans="3:3" ht="12.75" customHeight="1">
      <c r="C423" s="2"/>
    </row>
    <row r="424" spans="3:3" ht="12.75" customHeight="1">
      <c r="C424" s="2"/>
    </row>
    <row r="425" spans="3:3" ht="12.75" customHeight="1">
      <c r="C425" s="2"/>
    </row>
    <row r="426" spans="3:3" ht="12.75" customHeight="1">
      <c r="C426" s="2"/>
    </row>
    <row r="427" spans="3:3" ht="12.75" customHeight="1">
      <c r="C427" s="2"/>
    </row>
    <row r="428" spans="3:3" ht="12.75" customHeight="1">
      <c r="C428" s="2"/>
    </row>
    <row r="429" spans="3:3" ht="12.75" customHeight="1">
      <c r="C429" s="2"/>
    </row>
    <row r="430" spans="3:3" ht="12.75" customHeight="1">
      <c r="C430" s="2"/>
    </row>
    <row r="431" spans="3:3" ht="12.75" customHeight="1">
      <c r="C431" s="2"/>
    </row>
    <row r="432" spans="3:3" ht="12.75" customHeight="1">
      <c r="C432" s="2"/>
    </row>
    <row r="433" spans="3:3" ht="12.75" customHeight="1">
      <c r="C433" s="2"/>
    </row>
    <row r="434" spans="3:3" ht="12.75" customHeight="1">
      <c r="C434" s="2"/>
    </row>
    <row r="435" spans="3:3" ht="12.75" customHeight="1">
      <c r="C435" s="2"/>
    </row>
    <row r="436" spans="3:3" ht="12.75" customHeight="1">
      <c r="C436" s="2"/>
    </row>
    <row r="437" spans="3:3" ht="12.75" customHeight="1">
      <c r="C437" s="2"/>
    </row>
    <row r="438" spans="3:3" ht="12.75" customHeight="1">
      <c r="C438" s="2"/>
    </row>
    <row r="439" spans="3:3" ht="12.75" customHeight="1">
      <c r="C439" s="2"/>
    </row>
    <row r="440" spans="3:3" ht="12.75" customHeight="1">
      <c r="C440" s="2"/>
    </row>
    <row r="441" spans="3:3" ht="12.75" customHeight="1">
      <c r="C441" s="2"/>
    </row>
    <row r="442" spans="3:3" ht="12.75" customHeight="1">
      <c r="C442" s="2"/>
    </row>
    <row r="443" spans="3:3" ht="12.75" customHeight="1">
      <c r="C443" s="2"/>
    </row>
    <row r="444" spans="3:3" ht="12.75" customHeight="1">
      <c r="C444" s="2"/>
    </row>
    <row r="445" spans="3:3" ht="12.75" customHeight="1">
      <c r="C445" s="2"/>
    </row>
    <row r="446" spans="3:3" ht="12.75" customHeight="1">
      <c r="C446" s="2"/>
    </row>
    <row r="447" spans="3:3" ht="12.75" customHeight="1">
      <c r="C447" s="2"/>
    </row>
    <row r="448" spans="3:3" ht="12.75" customHeight="1">
      <c r="C448" s="2"/>
    </row>
    <row r="449" spans="3:3" ht="12.75" customHeight="1">
      <c r="C449" s="2"/>
    </row>
    <row r="450" spans="3:3" ht="12.75" customHeight="1">
      <c r="C450" s="2"/>
    </row>
    <row r="451" spans="3:3" ht="12.75" customHeight="1">
      <c r="C451" s="2"/>
    </row>
    <row r="452" spans="3:3" ht="12.75" customHeight="1">
      <c r="C452" s="2"/>
    </row>
    <row r="453" spans="3:3" ht="12.75" customHeight="1">
      <c r="C453" s="2"/>
    </row>
    <row r="454" spans="3:3" ht="12.75" customHeight="1">
      <c r="C454" s="2"/>
    </row>
    <row r="455" spans="3:3" ht="12.75" customHeight="1">
      <c r="C455" s="2"/>
    </row>
    <row r="456" spans="3:3" ht="12.75" customHeight="1">
      <c r="C456" s="2"/>
    </row>
    <row r="457" spans="3:3" ht="12.75" customHeight="1">
      <c r="C457" s="2"/>
    </row>
    <row r="458" spans="3:3" ht="12.75" customHeight="1">
      <c r="C458" s="2"/>
    </row>
    <row r="459" spans="3:3" ht="12.75" customHeight="1">
      <c r="C459" s="2"/>
    </row>
    <row r="460" spans="3:3" ht="12.75" customHeight="1">
      <c r="C460" s="2"/>
    </row>
    <row r="461" spans="3:3" ht="12.75" customHeight="1">
      <c r="C461" s="2"/>
    </row>
    <row r="462" spans="3:3" ht="12.75" customHeight="1">
      <c r="C462" s="2"/>
    </row>
    <row r="463" spans="3:3" ht="12.75" customHeight="1">
      <c r="C463" s="2"/>
    </row>
    <row r="464" spans="3:3" ht="12.75" customHeight="1">
      <c r="C464" s="2"/>
    </row>
    <row r="465" spans="3:3" ht="12.75" customHeight="1">
      <c r="C465" s="2"/>
    </row>
    <row r="466" spans="3:3" ht="12.75" customHeight="1">
      <c r="C466" s="2"/>
    </row>
    <row r="467" spans="3:3" ht="12.75" customHeight="1">
      <c r="C467" s="2"/>
    </row>
    <row r="468" spans="3:3" ht="12.75" customHeight="1">
      <c r="C468" s="2"/>
    </row>
    <row r="469" spans="3:3" ht="12.75" customHeight="1">
      <c r="C469" s="2"/>
    </row>
    <row r="470" spans="3:3" ht="12.75" customHeight="1">
      <c r="C470" s="2"/>
    </row>
    <row r="471" spans="3:3" ht="12.75" customHeight="1">
      <c r="C471" s="2"/>
    </row>
    <row r="472" spans="3:3" ht="12.75" customHeight="1">
      <c r="C472" s="2"/>
    </row>
    <row r="473" spans="3:3" ht="12.75" customHeight="1">
      <c r="C473" s="2"/>
    </row>
    <row r="474" spans="3:3" ht="12.75" customHeight="1">
      <c r="C474" s="2"/>
    </row>
    <row r="475" spans="3:3" ht="12.75" customHeight="1">
      <c r="C475" s="2"/>
    </row>
    <row r="476" spans="3:3" ht="12.75" customHeight="1">
      <c r="C476" s="2"/>
    </row>
    <row r="477" spans="3:3" ht="12.75" customHeight="1">
      <c r="C477" s="2"/>
    </row>
    <row r="478" spans="3:3" ht="12.75" customHeight="1">
      <c r="C478" s="2"/>
    </row>
    <row r="479" spans="3:3" ht="12.75" customHeight="1">
      <c r="C479" s="2"/>
    </row>
    <row r="480" spans="3:3" ht="12.75" customHeight="1">
      <c r="C480" s="2"/>
    </row>
    <row r="481" spans="3:3" ht="12.75" customHeight="1">
      <c r="C481" s="2"/>
    </row>
    <row r="482" spans="3:3" ht="12.75" customHeight="1">
      <c r="C482" s="2"/>
    </row>
    <row r="483" spans="3:3" ht="12.75" customHeight="1">
      <c r="C483" s="2"/>
    </row>
    <row r="484" spans="3:3" ht="12.75" customHeight="1">
      <c r="C484" s="2"/>
    </row>
    <row r="485" spans="3:3" ht="12.75" customHeight="1">
      <c r="C485" s="2"/>
    </row>
    <row r="486" spans="3:3" ht="12.75" customHeight="1">
      <c r="C486" s="2"/>
    </row>
    <row r="487" spans="3:3" ht="12.75" customHeight="1">
      <c r="C487" s="2"/>
    </row>
    <row r="488" spans="3:3" ht="12.75" customHeight="1">
      <c r="C488" s="2"/>
    </row>
    <row r="489" spans="3:3" ht="12.75" customHeight="1">
      <c r="C489" s="2"/>
    </row>
    <row r="490" spans="3:3" ht="12.75" customHeight="1">
      <c r="C490" s="2"/>
    </row>
    <row r="491" spans="3:3" ht="12.75" customHeight="1">
      <c r="C491" s="2"/>
    </row>
    <row r="492" spans="3:3" ht="12.75" customHeight="1">
      <c r="C492" s="2"/>
    </row>
    <row r="493" spans="3:3" ht="12.75" customHeight="1">
      <c r="C493" s="2"/>
    </row>
    <row r="494" spans="3:3" ht="12.75" customHeight="1">
      <c r="C494" s="2"/>
    </row>
    <row r="495" spans="3:3" ht="12.75" customHeight="1">
      <c r="C495" s="2"/>
    </row>
    <row r="496" spans="3:3" ht="12.75" customHeight="1">
      <c r="C496" s="2"/>
    </row>
    <row r="497" spans="3:3" ht="12.75" customHeight="1">
      <c r="C497" s="2"/>
    </row>
    <row r="498" spans="3:3" ht="12.75" customHeight="1">
      <c r="C498" s="2"/>
    </row>
    <row r="499" spans="3:3" ht="12.75" customHeight="1">
      <c r="C499" s="2"/>
    </row>
    <row r="500" spans="3:3" ht="12.75" customHeight="1">
      <c r="C500" s="2"/>
    </row>
    <row r="501" spans="3:3" ht="12.75" customHeight="1">
      <c r="C501" s="2"/>
    </row>
    <row r="502" spans="3:3" ht="12.75" customHeight="1">
      <c r="C502" s="2"/>
    </row>
    <row r="503" spans="3:3" ht="12.75" customHeight="1">
      <c r="C503" s="2"/>
    </row>
    <row r="504" spans="3:3" ht="12.75" customHeight="1">
      <c r="C504" s="2"/>
    </row>
    <row r="505" spans="3:3" ht="12.75" customHeight="1">
      <c r="C505" s="2"/>
    </row>
    <row r="506" spans="3:3" ht="12.75" customHeight="1">
      <c r="C506" s="2"/>
    </row>
    <row r="507" spans="3:3" ht="12.75" customHeight="1">
      <c r="C507" s="2"/>
    </row>
    <row r="508" spans="3:3" ht="12.75" customHeight="1">
      <c r="C508" s="2"/>
    </row>
    <row r="509" spans="3:3" ht="12.75" customHeight="1">
      <c r="C509" s="2"/>
    </row>
    <row r="510" spans="3:3" ht="12.75" customHeight="1">
      <c r="C510" s="2"/>
    </row>
    <row r="511" spans="3:3" ht="12.75" customHeight="1">
      <c r="C511" s="2"/>
    </row>
    <row r="512" spans="3:3" ht="12.75" customHeight="1">
      <c r="C512" s="2"/>
    </row>
    <row r="513" spans="3:3" ht="12.75" customHeight="1">
      <c r="C513" s="2"/>
    </row>
    <row r="514" spans="3:3" ht="12.75" customHeight="1">
      <c r="C514" s="2"/>
    </row>
    <row r="515" spans="3:3" ht="12.75" customHeight="1">
      <c r="C515" s="2"/>
    </row>
    <row r="516" spans="3:3" ht="12.75" customHeight="1">
      <c r="C516" s="2"/>
    </row>
    <row r="517" spans="3:3" ht="12.75" customHeight="1">
      <c r="C517" s="2"/>
    </row>
    <row r="518" spans="3:3" ht="12.75" customHeight="1">
      <c r="C518" s="2"/>
    </row>
    <row r="519" spans="3:3" ht="12.75" customHeight="1">
      <c r="C519" s="2"/>
    </row>
    <row r="520" spans="3:3" ht="12.75" customHeight="1">
      <c r="C520" s="2"/>
    </row>
    <row r="521" spans="3:3" ht="12.75" customHeight="1">
      <c r="C521" s="2"/>
    </row>
    <row r="522" spans="3:3" ht="12.75" customHeight="1">
      <c r="C522" s="2"/>
    </row>
    <row r="523" spans="3:3" ht="12.75" customHeight="1">
      <c r="C523" s="2"/>
    </row>
    <row r="524" spans="3:3" ht="12.75" customHeight="1">
      <c r="C524" s="2"/>
    </row>
    <row r="525" spans="3:3" ht="12.75" customHeight="1">
      <c r="C525" s="2"/>
    </row>
    <row r="526" spans="3:3" ht="12.75" customHeight="1">
      <c r="C526" s="2"/>
    </row>
    <row r="527" spans="3:3" ht="12.75" customHeight="1">
      <c r="C527" s="2"/>
    </row>
    <row r="528" spans="3:3" ht="12.75" customHeight="1">
      <c r="C528" s="2"/>
    </row>
    <row r="529" spans="3:3" ht="12.75" customHeight="1">
      <c r="C529" s="2"/>
    </row>
    <row r="530" spans="3:3" ht="12.75" customHeight="1">
      <c r="C530" s="2"/>
    </row>
    <row r="531" spans="3:3" ht="12.75" customHeight="1">
      <c r="C531" s="2"/>
    </row>
    <row r="532" spans="3:3" ht="12.75" customHeight="1">
      <c r="C532" s="2"/>
    </row>
    <row r="533" spans="3:3" ht="12.75" customHeight="1">
      <c r="C533" s="2"/>
    </row>
    <row r="534" spans="3:3" ht="12.75" customHeight="1">
      <c r="C534" s="2"/>
    </row>
    <row r="535" spans="3:3" ht="12.75" customHeight="1">
      <c r="C535" s="2"/>
    </row>
    <row r="536" spans="3:3" ht="12.75" customHeight="1">
      <c r="C536" s="2"/>
    </row>
    <row r="537" spans="3:3" ht="12.75" customHeight="1">
      <c r="C537" s="2"/>
    </row>
    <row r="538" spans="3:3" ht="12.75" customHeight="1">
      <c r="C538" s="2"/>
    </row>
    <row r="539" spans="3:3" ht="12.75" customHeight="1">
      <c r="C539" s="2"/>
    </row>
    <row r="540" spans="3:3" ht="12.75" customHeight="1">
      <c r="C540" s="2"/>
    </row>
    <row r="541" spans="3:3" ht="12.75" customHeight="1">
      <c r="C541" s="2"/>
    </row>
    <row r="542" spans="3:3" ht="12.75" customHeight="1">
      <c r="C542" s="2"/>
    </row>
    <row r="543" spans="3:3" ht="12.75" customHeight="1">
      <c r="C543" s="2"/>
    </row>
    <row r="544" spans="3:3" ht="12.75" customHeight="1">
      <c r="C544" s="2"/>
    </row>
    <row r="545" spans="3:3" ht="12.75" customHeight="1">
      <c r="C545" s="2"/>
    </row>
    <row r="546" spans="3:3" ht="12.75" customHeight="1">
      <c r="C546" s="2"/>
    </row>
    <row r="547" spans="3:3" ht="12.75" customHeight="1">
      <c r="C547" s="2"/>
    </row>
    <row r="548" spans="3:3" ht="12.75" customHeight="1">
      <c r="C548" s="2"/>
    </row>
    <row r="549" spans="3:3" ht="12.75" customHeight="1">
      <c r="C549" s="2"/>
    </row>
    <row r="550" spans="3:3" ht="12.75" customHeight="1">
      <c r="C550" s="2"/>
    </row>
    <row r="551" spans="3:3" ht="12.75" customHeight="1">
      <c r="C551" s="2"/>
    </row>
    <row r="552" spans="3:3" ht="12.75" customHeight="1">
      <c r="C552" s="2"/>
    </row>
    <row r="553" spans="3:3" ht="12.75" customHeight="1">
      <c r="C553" s="2"/>
    </row>
    <row r="554" spans="3:3" ht="12.75" customHeight="1">
      <c r="C554" s="2"/>
    </row>
    <row r="555" spans="3:3" ht="12.75" customHeight="1">
      <c r="C555" s="2"/>
    </row>
    <row r="556" spans="3:3" ht="12.75" customHeight="1">
      <c r="C556" s="2"/>
    </row>
    <row r="557" spans="3:3" ht="12.75" customHeight="1">
      <c r="C557" s="2"/>
    </row>
    <row r="558" spans="3:3" ht="12.75" customHeight="1">
      <c r="C558" s="2"/>
    </row>
    <row r="559" spans="3:3" ht="12.75" customHeight="1">
      <c r="C559" s="2"/>
    </row>
    <row r="560" spans="3:3" ht="12.75" customHeight="1">
      <c r="C560" s="2"/>
    </row>
    <row r="561" spans="3:3" ht="12.75" customHeight="1">
      <c r="C561" s="2"/>
    </row>
    <row r="562" spans="3:3" ht="12.75" customHeight="1">
      <c r="C562" s="2"/>
    </row>
    <row r="563" spans="3:3" ht="12.75" customHeight="1">
      <c r="C563" s="2"/>
    </row>
    <row r="564" spans="3:3" ht="12.75" customHeight="1">
      <c r="C564" s="2"/>
    </row>
    <row r="565" spans="3:3" ht="12.75" customHeight="1">
      <c r="C565" s="2"/>
    </row>
    <row r="566" spans="3:3" ht="12.75" customHeight="1">
      <c r="C566" s="2"/>
    </row>
    <row r="567" spans="3:3" ht="12.75" customHeight="1">
      <c r="C567" s="2"/>
    </row>
    <row r="568" spans="3:3" ht="12.75" customHeight="1">
      <c r="C568" s="2"/>
    </row>
    <row r="569" spans="3:3" ht="12.75" customHeight="1">
      <c r="C569" s="2"/>
    </row>
    <row r="570" spans="3:3" ht="12.75" customHeight="1">
      <c r="C570" s="2"/>
    </row>
    <row r="571" spans="3:3" ht="12.75" customHeight="1">
      <c r="C571" s="2"/>
    </row>
    <row r="572" spans="3:3" ht="12.75" customHeight="1">
      <c r="C572" s="2"/>
    </row>
    <row r="573" spans="3:3" ht="12.75" customHeight="1">
      <c r="C573" s="2"/>
    </row>
    <row r="574" spans="3:3" ht="12.75" customHeight="1">
      <c r="C574" s="2"/>
    </row>
    <row r="575" spans="3:3" ht="12.75" customHeight="1">
      <c r="C575" s="2"/>
    </row>
    <row r="576" spans="3:3" ht="12.75" customHeight="1">
      <c r="C576" s="2"/>
    </row>
    <row r="577" spans="3:3" ht="12.75" customHeight="1">
      <c r="C577" s="2"/>
    </row>
    <row r="578" spans="3:3" ht="12.75" customHeight="1">
      <c r="C578" s="2"/>
    </row>
    <row r="579" spans="3:3" ht="12.75" customHeight="1">
      <c r="C579" s="2"/>
    </row>
    <row r="580" spans="3:3" ht="12.75" customHeight="1">
      <c r="C580" s="2"/>
    </row>
    <row r="581" spans="3:3" ht="12.75" customHeight="1">
      <c r="C581" s="2"/>
    </row>
    <row r="582" spans="3:3" ht="12.75" customHeight="1">
      <c r="C582" s="2"/>
    </row>
    <row r="583" spans="3:3" ht="12.75" customHeight="1">
      <c r="C583" s="2"/>
    </row>
    <row r="584" spans="3:3" ht="12.75" customHeight="1">
      <c r="C584" s="2"/>
    </row>
    <row r="585" spans="3:3" ht="12.75" customHeight="1">
      <c r="C585" s="2"/>
    </row>
    <row r="586" spans="3:3" ht="12.75" customHeight="1">
      <c r="C586" s="2"/>
    </row>
    <row r="587" spans="3:3" ht="12.75" customHeight="1">
      <c r="C587" s="2"/>
    </row>
    <row r="588" spans="3:3" ht="12.75" customHeight="1">
      <c r="C588" s="2"/>
    </row>
    <row r="589" spans="3:3" ht="12.75" customHeight="1">
      <c r="C589" s="2"/>
    </row>
    <row r="590" spans="3:3" ht="12.75" customHeight="1">
      <c r="C590" s="2"/>
    </row>
    <row r="591" spans="3:3" ht="12.75" customHeight="1">
      <c r="C591" s="2"/>
    </row>
    <row r="592" spans="3:3" ht="12.75" customHeight="1">
      <c r="C592" s="2"/>
    </row>
    <row r="593" spans="3:3" ht="12.75" customHeight="1">
      <c r="C593" s="2"/>
    </row>
    <row r="594" spans="3:3" ht="12.75" customHeight="1">
      <c r="C594" s="2"/>
    </row>
    <row r="595" spans="3:3" ht="12.75" customHeight="1">
      <c r="C595" s="2"/>
    </row>
    <row r="596" spans="3:3" ht="12.75" customHeight="1">
      <c r="C596" s="2"/>
    </row>
    <row r="597" spans="3:3" ht="12.75" customHeight="1">
      <c r="C597" s="2"/>
    </row>
    <row r="598" spans="3:3" ht="12.75" customHeight="1">
      <c r="C598" s="2"/>
    </row>
    <row r="599" spans="3:3" ht="12.75" customHeight="1">
      <c r="C599" s="2"/>
    </row>
    <row r="600" spans="3:3" ht="12.75" customHeight="1">
      <c r="C600" s="2"/>
    </row>
    <row r="601" spans="3:3" ht="12.75" customHeight="1">
      <c r="C601" s="2"/>
    </row>
    <row r="602" spans="3:3" ht="12.75" customHeight="1">
      <c r="C602" s="2"/>
    </row>
    <row r="603" spans="3:3" ht="12.75" customHeight="1">
      <c r="C603" s="2"/>
    </row>
    <row r="604" spans="3:3" ht="12.75" customHeight="1">
      <c r="C604" s="2"/>
    </row>
    <row r="605" spans="3:3" ht="12.75" customHeight="1">
      <c r="C605" s="2"/>
    </row>
    <row r="606" spans="3:3" ht="12.75" customHeight="1">
      <c r="C606" s="2"/>
    </row>
    <row r="607" spans="3:3" ht="12.75" customHeight="1">
      <c r="C607" s="2"/>
    </row>
    <row r="608" spans="3:3" ht="12.75" customHeight="1">
      <c r="C608" s="2"/>
    </row>
    <row r="609" spans="3:3" ht="12.75" customHeight="1">
      <c r="C609" s="2"/>
    </row>
    <row r="610" spans="3:3" ht="12.75" customHeight="1">
      <c r="C610" s="2"/>
    </row>
    <row r="611" spans="3:3" ht="12.75" customHeight="1">
      <c r="C611" s="2"/>
    </row>
    <row r="612" spans="3:3" ht="12.75" customHeight="1">
      <c r="C612" s="2"/>
    </row>
    <row r="613" spans="3:3" ht="12.75" customHeight="1">
      <c r="C613" s="2"/>
    </row>
    <row r="614" spans="3:3" ht="12.75" customHeight="1">
      <c r="C614" s="2"/>
    </row>
    <row r="615" spans="3:3" ht="12.75" customHeight="1">
      <c r="C615" s="2"/>
    </row>
    <row r="616" spans="3:3" ht="12.75" customHeight="1">
      <c r="C616" s="2"/>
    </row>
    <row r="617" spans="3:3" ht="12.75" customHeight="1">
      <c r="C617" s="2"/>
    </row>
    <row r="618" spans="3:3" ht="12.75" customHeight="1">
      <c r="C618" s="2"/>
    </row>
    <row r="619" spans="3:3" ht="12.75" customHeight="1">
      <c r="C619" s="2"/>
    </row>
    <row r="620" spans="3:3" ht="12.75" customHeight="1">
      <c r="C620" s="2"/>
    </row>
    <row r="621" spans="3:3" ht="12.75" customHeight="1">
      <c r="C621" s="2"/>
    </row>
    <row r="622" spans="3:3" ht="12.75" customHeight="1">
      <c r="C622" s="2"/>
    </row>
    <row r="623" spans="3:3" ht="12.75" customHeight="1">
      <c r="C623" s="2"/>
    </row>
    <row r="624" spans="3:3" ht="12.75" customHeight="1">
      <c r="C624" s="2"/>
    </row>
    <row r="625" spans="3:3" ht="12.75" customHeight="1">
      <c r="C625" s="2"/>
    </row>
    <row r="626" spans="3:3" ht="12.75" customHeight="1">
      <c r="C626" s="2"/>
    </row>
    <row r="627" spans="3:3" ht="12.75" customHeight="1">
      <c r="C627" s="2"/>
    </row>
    <row r="628" spans="3:3" ht="12.75" customHeight="1">
      <c r="C628" s="2"/>
    </row>
    <row r="629" spans="3:3" ht="12.75" customHeight="1">
      <c r="C629" s="2"/>
    </row>
    <row r="630" spans="3:3" ht="12.75" customHeight="1">
      <c r="C630" s="2"/>
    </row>
    <row r="631" spans="3:3" ht="12.75" customHeight="1">
      <c r="C631" s="2"/>
    </row>
    <row r="632" spans="3:3" ht="12.75" customHeight="1">
      <c r="C632" s="2"/>
    </row>
    <row r="633" spans="3:3" ht="12.75" customHeight="1">
      <c r="C633" s="2"/>
    </row>
    <row r="634" spans="3:3" ht="12.75" customHeight="1">
      <c r="C634" s="2"/>
    </row>
    <row r="635" spans="3:3" ht="12.75" customHeight="1">
      <c r="C635" s="2"/>
    </row>
    <row r="636" spans="3:3" ht="12.75" customHeight="1">
      <c r="C636" s="2"/>
    </row>
    <row r="637" spans="3:3" ht="12.75" customHeight="1">
      <c r="C637" s="2"/>
    </row>
    <row r="638" spans="3:3" ht="12.75" customHeight="1">
      <c r="C638" s="2"/>
    </row>
    <row r="639" spans="3:3" ht="12.75" customHeight="1">
      <c r="C639" s="2"/>
    </row>
    <row r="640" spans="3:3" ht="12.75" customHeight="1">
      <c r="C640" s="2"/>
    </row>
    <row r="641" spans="3:3" ht="12.75" customHeight="1">
      <c r="C641" s="2"/>
    </row>
    <row r="642" spans="3:3" ht="12.75" customHeight="1">
      <c r="C642" s="2"/>
    </row>
    <row r="643" spans="3:3" ht="12.75" customHeight="1">
      <c r="C643" s="2"/>
    </row>
    <row r="644" spans="3:3" ht="12.75" customHeight="1">
      <c r="C644" s="2"/>
    </row>
    <row r="645" spans="3:3" ht="12.75" customHeight="1">
      <c r="C645" s="2"/>
    </row>
    <row r="646" spans="3:3" ht="12.75" customHeight="1">
      <c r="C646" s="2"/>
    </row>
    <row r="647" spans="3:3" ht="12.75" customHeight="1">
      <c r="C647" s="2"/>
    </row>
    <row r="648" spans="3:3" ht="12.75" customHeight="1">
      <c r="C648" s="2"/>
    </row>
    <row r="649" spans="3:3" ht="12.75" customHeight="1">
      <c r="C649" s="2"/>
    </row>
    <row r="650" spans="3:3" ht="12.75" customHeight="1">
      <c r="C650" s="2"/>
    </row>
    <row r="651" spans="3:3" ht="12.75" customHeight="1">
      <c r="C651" s="2"/>
    </row>
    <row r="652" spans="3:3" ht="12.75" customHeight="1">
      <c r="C652" s="2"/>
    </row>
    <row r="653" spans="3:3" ht="12.75" customHeight="1">
      <c r="C653" s="2"/>
    </row>
    <row r="654" spans="3:3" ht="12.75" customHeight="1">
      <c r="C654" s="2"/>
    </row>
    <row r="655" spans="3:3" ht="12.75" customHeight="1">
      <c r="C655" s="2"/>
    </row>
    <row r="656" spans="3:3" ht="12.75" customHeight="1">
      <c r="C656" s="2"/>
    </row>
    <row r="657" spans="3:3" ht="12.75" customHeight="1">
      <c r="C657" s="2"/>
    </row>
    <row r="658" spans="3:3" ht="12.75" customHeight="1">
      <c r="C658" s="2"/>
    </row>
    <row r="659" spans="3:3" ht="12.75" customHeight="1">
      <c r="C659" s="2"/>
    </row>
    <row r="660" spans="3:3" ht="12.75" customHeight="1">
      <c r="C660" s="2"/>
    </row>
    <row r="661" spans="3:3" ht="12.75" customHeight="1">
      <c r="C661" s="2"/>
    </row>
    <row r="662" spans="3:3" ht="12.75" customHeight="1">
      <c r="C662" s="2"/>
    </row>
    <row r="663" spans="3:3" ht="12.75" customHeight="1">
      <c r="C663" s="2"/>
    </row>
    <row r="664" spans="3:3" ht="12.75" customHeight="1">
      <c r="C664" s="2"/>
    </row>
    <row r="665" spans="3:3" ht="12.75" customHeight="1">
      <c r="C665" s="2"/>
    </row>
    <row r="666" spans="3:3" ht="12.75" customHeight="1">
      <c r="C666" s="2"/>
    </row>
    <row r="667" spans="3:3" ht="12.75" customHeight="1">
      <c r="C667" s="2"/>
    </row>
    <row r="668" spans="3:3" ht="12.75" customHeight="1">
      <c r="C668" s="2"/>
    </row>
    <row r="669" spans="3:3" ht="12.75" customHeight="1">
      <c r="C669" s="2"/>
    </row>
    <row r="670" spans="3:3" ht="12.75" customHeight="1">
      <c r="C670" s="2"/>
    </row>
    <row r="671" spans="3:3" ht="12.75" customHeight="1">
      <c r="C671" s="2"/>
    </row>
    <row r="672" spans="3:3" ht="12.75" customHeight="1">
      <c r="C672" s="2"/>
    </row>
    <row r="673" spans="3:3" ht="12.75" customHeight="1">
      <c r="C673" s="2"/>
    </row>
    <row r="674" spans="3:3" ht="12.75" customHeight="1">
      <c r="C674" s="2"/>
    </row>
    <row r="675" spans="3:3" ht="12.75" customHeight="1">
      <c r="C675" s="2"/>
    </row>
    <row r="676" spans="3:3" ht="12.75" customHeight="1">
      <c r="C676" s="2"/>
    </row>
    <row r="677" spans="3:3" ht="12.75" customHeight="1">
      <c r="C677" s="2"/>
    </row>
    <row r="678" spans="3:3" ht="12.75" customHeight="1">
      <c r="C678" s="2"/>
    </row>
    <row r="679" spans="3:3" ht="12.75" customHeight="1">
      <c r="C679" s="2"/>
    </row>
    <row r="680" spans="3:3" ht="12.75" customHeight="1">
      <c r="C680" s="2"/>
    </row>
    <row r="681" spans="3:3" ht="12.75" customHeight="1">
      <c r="C681" s="2"/>
    </row>
    <row r="682" spans="3:3" ht="12.75" customHeight="1">
      <c r="C682" s="2"/>
    </row>
    <row r="683" spans="3:3" ht="12.75" customHeight="1">
      <c r="C683" s="2"/>
    </row>
    <row r="684" spans="3:3" ht="12.75" customHeight="1">
      <c r="C684" s="2"/>
    </row>
    <row r="685" spans="3:3" ht="12.75" customHeight="1">
      <c r="C685" s="2"/>
    </row>
    <row r="686" spans="3:3" ht="12.75" customHeight="1">
      <c r="C686" s="2"/>
    </row>
    <row r="687" spans="3:3" ht="12.75" customHeight="1">
      <c r="C687" s="2"/>
    </row>
    <row r="688" spans="3:3" ht="12.75" customHeight="1">
      <c r="C688" s="2"/>
    </row>
    <row r="689" spans="3:3" ht="12.75" customHeight="1">
      <c r="C689" s="2"/>
    </row>
    <row r="690" spans="3:3" ht="12.75" customHeight="1">
      <c r="C690" s="2"/>
    </row>
    <row r="691" spans="3:3" ht="12.75" customHeight="1">
      <c r="C691" s="2"/>
    </row>
    <row r="692" spans="3:3" ht="12.75" customHeight="1">
      <c r="C692" s="2"/>
    </row>
    <row r="693" spans="3:3" ht="12.75" customHeight="1">
      <c r="C693" s="2"/>
    </row>
    <row r="694" spans="3:3" ht="12.75" customHeight="1">
      <c r="C694" s="2"/>
    </row>
    <row r="695" spans="3:3" ht="12.75" customHeight="1">
      <c r="C695" s="2"/>
    </row>
    <row r="696" spans="3:3" ht="12.75" customHeight="1">
      <c r="C696" s="2"/>
    </row>
    <row r="697" spans="3:3" ht="12.75" customHeight="1">
      <c r="C697" s="2"/>
    </row>
    <row r="698" spans="3:3" ht="12.75" customHeight="1">
      <c r="C698" s="2"/>
    </row>
    <row r="699" spans="3:3" ht="12.75" customHeight="1">
      <c r="C699" s="2"/>
    </row>
    <row r="700" spans="3:3" ht="12.75" customHeight="1">
      <c r="C700" s="2"/>
    </row>
    <row r="701" spans="3:3" ht="12.75" customHeight="1">
      <c r="C701" s="2"/>
    </row>
    <row r="702" spans="3:3" ht="12.75" customHeight="1">
      <c r="C702" s="2"/>
    </row>
    <row r="703" spans="3:3" ht="12.75" customHeight="1">
      <c r="C703" s="2"/>
    </row>
    <row r="704" spans="3:3" ht="12.75" customHeight="1">
      <c r="C704" s="2"/>
    </row>
    <row r="705" spans="3:3" ht="12.75" customHeight="1">
      <c r="C705" s="2"/>
    </row>
    <row r="706" spans="3:3" ht="12.75" customHeight="1">
      <c r="C706" s="2"/>
    </row>
    <row r="707" spans="3:3" ht="12.75" customHeight="1">
      <c r="C707" s="2"/>
    </row>
    <row r="708" spans="3:3" ht="12.75" customHeight="1">
      <c r="C708" s="2"/>
    </row>
    <row r="709" spans="3:3" ht="12.75" customHeight="1">
      <c r="C709" s="2"/>
    </row>
    <row r="710" spans="3:3" ht="12.75" customHeight="1">
      <c r="C710" s="2"/>
    </row>
    <row r="711" spans="3:3" ht="12.75" customHeight="1">
      <c r="C711" s="2"/>
    </row>
    <row r="712" spans="3:3" ht="12.75" customHeight="1">
      <c r="C712" s="2"/>
    </row>
    <row r="713" spans="3:3" ht="12.75" customHeight="1">
      <c r="C713" s="2"/>
    </row>
    <row r="714" spans="3:3" ht="12.75" customHeight="1">
      <c r="C714" s="2"/>
    </row>
    <row r="715" spans="3:3" ht="12.75" customHeight="1">
      <c r="C715" s="2"/>
    </row>
    <row r="716" spans="3:3" ht="12.75" customHeight="1">
      <c r="C716" s="2"/>
    </row>
    <row r="717" spans="3:3" ht="12.75" customHeight="1">
      <c r="C717" s="2"/>
    </row>
    <row r="718" spans="3:3" ht="12.75" customHeight="1">
      <c r="C718" s="2"/>
    </row>
    <row r="719" spans="3:3" ht="12.75" customHeight="1">
      <c r="C719" s="2"/>
    </row>
    <row r="720" spans="3:3" ht="12.75" customHeight="1">
      <c r="C720" s="2"/>
    </row>
    <row r="721" spans="3:3" ht="12.75" customHeight="1">
      <c r="C721" s="2"/>
    </row>
    <row r="722" spans="3:3" ht="12.75" customHeight="1">
      <c r="C722" s="2"/>
    </row>
    <row r="723" spans="3:3" ht="12.75" customHeight="1">
      <c r="C723" s="2"/>
    </row>
    <row r="724" spans="3:3" ht="12.75" customHeight="1">
      <c r="C724" s="2"/>
    </row>
    <row r="725" spans="3:3" ht="12.75" customHeight="1">
      <c r="C725" s="2"/>
    </row>
    <row r="726" spans="3:3" ht="12.75" customHeight="1">
      <c r="C726" s="2"/>
    </row>
    <row r="727" spans="3:3" ht="12.75" customHeight="1">
      <c r="C727" s="2"/>
    </row>
    <row r="728" spans="3:3" ht="12.75" customHeight="1">
      <c r="C728" s="2"/>
    </row>
    <row r="729" spans="3:3" ht="12.75" customHeight="1">
      <c r="C729" s="2"/>
    </row>
    <row r="730" spans="3:3" ht="12.75" customHeight="1">
      <c r="C730" s="2"/>
    </row>
    <row r="731" spans="3:3" ht="12.75" customHeight="1">
      <c r="C731" s="2"/>
    </row>
    <row r="732" spans="3:3" ht="12.75" customHeight="1">
      <c r="C732" s="2"/>
    </row>
    <row r="733" spans="3:3" ht="12.75" customHeight="1">
      <c r="C733" s="2"/>
    </row>
    <row r="734" spans="3:3" ht="12.75" customHeight="1">
      <c r="C734" s="2"/>
    </row>
    <row r="735" spans="3:3" ht="12.75" customHeight="1">
      <c r="C735" s="2"/>
    </row>
    <row r="736" spans="3:3" ht="12.75" customHeight="1">
      <c r="C736" s="2"/>
    </row>
    <row r="737" spans="3:3" ht="12.75" customHeight="1">
      <c r="C737" s="2"/>
    </row>
    <row r="738" spans="3:3" ht="12.75" customHeight="1">
      <c r="C738" s="2"/>
    </row>
    <row r="739" spans="3:3" ht="12.75" customHeight="1">
      <c r="C739" s="2"/>
    </row>
    <row r="740" spans="3:3" ht="12.75" customHeight="1">
      <c r="C740" s="2"/>
    </row>
    <row r="741" spans="3:3" ht="12.75" customHeight="1">
      <c r="C741" s="2"/>
    </row>
    <row r="742" spans="3:3" ht="12.75" customHeight="1">
      <c r="C742" s="2"/>
    </row>
    <row r="743" spans="3:3" ht="12.75" customHeight="1">
      <c r="C743" s="2"/>
    </row>
    <row r="744" spans="3:3" ht="12.75" customHeight="1">
      <c r="C744" s="2"/>
    </row>
    <row r="745" spans="3:3" ht="12.75" customHeight="1">
      <c r="C745" s="2"/>
    </row>
    <row r="746" spans="3:3" ht="12.75" customHeight="1">
      <c r="C746" s="2"/>
    </row>
    <row r="747" spans="3:3" ht="12.75" customHeight="1">
      <c r="C747" s="2"/>
    </row>
    <row r="748" spans="3:3" ht="12.75" customHeight="1">
      <c r="C748" s="2"/>
    </row>
    <row r="749" spans="3:3" ht="12.75" customHeight="1">
      <c r="C749" s="2"/>
    </row>
    <row r="750" spans="3:3" ht="12.75" customHeight="1">
      <c r="C750" s="2"/>
    </row>
    <row r="751" spans="3:3" ht="12.75" customHeight="1">
      <c r="C751" s="2"/>
    </row>
    <row r="752" spans="3:3" ht="12.75" customHeight="1">
      <c r="C752" s="2"/>
    </row>
    <row r="753" spans="3:3" ht="12.75" customHeight="1">
      <c r="C753" s="2"/>
    </row>
    <row r="754" spans="3:3" ht="12.75" customHeight="1">
      <c r="C754" s="2"/>
    </row>
    <row r="755" spans="3:3" ht="12.75" customHeight="1">
      <c r="C755" s="2"/>
    </row>
    <row r="756" spans="3:3" ht="12.75" customHeight="1">
      <c r="C756" s="2"/>
    </row>
    <row r="757" spans="3:3" ht="12.75" customHeight="1">
      <c r="C757" s="2"/>
    </row>
    <row r="758" spans="3:3" ht="12.75" customHeight="1">
      <c r="C758" s="2"/>
    </row>
    <row r="759" spans="3:3" ht="12.75" customHeight="1">
      <c r="C759" s="2"/>
    </row>
    <row r="760" spans="3:3" ht="12.75" customHeight="1">
      <c r="C760" s="2"/>
    </row>
    <row r="761" spans="3:3" ht="12.75" customHeight="1">
      <c r="C761" s="2"/>
    </row>
    <row r="762" spans="3:3" ht="12.75" customHeight="1">
      <c r="C762" s="2"/>
    </row>
    <row r="763" spans="3:3" ht="12.75" customHeight="1">
      <c r="C763" s="2"/>
    </row>
    <row r="764" spans="3:3" ht="12.75" customHeight="1">
      <c r="C764" s="2"/>
    </row>
    <row r="765" spans="3:3" ht="12.75" customHeight="1">
      <c r="C765" s="2"/>
    </row>
    <row r="766" spans="3:3" ht="12.75" customHeight="1">
      <c r="C766" s="2"/>
    </row>
    <row r="767" spans="3:3" ht="12.75" customHeight="1">
      <c r="C767" s="2"/>
    </row>
    <row r="768" spans="3:3" ht="12.75" customHeight="1">
      <c r="C768" s="2"/>
    </row>
    <row r="769" spans="3:3" ht="12.75" customHeight="1">
      <c r="C769" s="2"/>
    </row>
    <row r="770" spans="3:3" ht="12.75" customHeight="1">
      <c r="C770" s="2"/>
    </row>
    <row r="771" spans="3:3" ht="12.75" customHeight="1">
      <c r="C771" s="2"/>
    </row>
    <row r="772" spans="3:3" ht="12.75" customHeight="1">
      <c r="C772" s="2"/>
    </row>
    <row r="773" spans="3:3" ht="12.75" customHeight="1">
      <c r="C773" s="2"/>
    </row>
    <row r="774" spans="3:3" ht="12.75" customHeight="1">
      <c r="C774" s="2"/>
    </row>
    <row r="775" spans="3:3" ht="12.75" customHeight="1">
      <c r="C775" s="2"/>
    </row>
    <row r="776" spans="3:3" ht="12.75" customHeight="1">
      <c r="C776" s="2"/>
    </row>
    <row r="777" spans="3:3" ht="12.75" customHeight="1">
      <c r="C777" s="2"/>
    </row>
    <row r="778" spans="3:3" ht="12.75" customHeight="1">
      <c r="C778" s="2"/>
    </row>
    <row r="779" spans="3:3" ht="12.75" customHeight="1">
      <c r="C779" s="2"/>
    </row>
    <row r="780" spans="3:3" ht="12.75" customHeight="1">
      <c r="C780" s="2"/>
    </row>
    <row r="781" spans="3:3" ht="12.75" customHeight="1">
      <c r="C781" s="2"/>
    </row>
    <row r="782" spans="3:3" ht="12.75" customHeight="1">
      <c r="C782" s="2"/>
    </row>
    <row r="783" spans="3:3" ht="12.75" customHeight="1">
      <c r="C783" s="2"/>
    </row>
    <row r="784" spans="3:3" ht="12.75" customHeight="1">
      <c r="C784" s="2"/>
    </row>
    <row r="785" spans="3:3" ht="12.75" customHeight="1">
      <c r="C785" s="2"/>
    </row>
    <row r="786" spans="3:3" ht="12.75" customHeight="1">
      <c r="C786" s="2"/>
    </row>
    <row r="787" spans="3:3" ht="12.75" customHeight="1">
      <c r="C787" s="2"/>
    </row>
    <row r="788" spans="3:3" ht="12.75" customHeight="1">
      <c r="C788" s="2"/>
    </row>
    <row r="789" spans="3:3" ht="12.75" customHeight="1">
      <c r="C789" s="2"/>
    </row>
    <row r="790" spans="3:3" ht="12.75" customHeight="1">
      <c r="C790" s="2"/>
    </row>
    <row r="791" spans="3:3" ht="12.75" customHeight="1">
      <c r="C791" s="2"/>
    </row>
    <row r="792" spans="3:3" ht="12.75" customHeight="1">
      <c r="C792" s="2"/>
    </row>
    <row r="793" spans="3:3" ht="12.75" customHeight="1">
      <c r="C793" s="2"/>
    </row>
    <row r="794" spans="3:3" ht="12.75" customHeight="1">
      <c r="C794" s="2"/>
    </row>
    <row r="795" spans="3:3" ht="12.75" customHeight="1">
      <c r="C795" s="2"/>
    </row>
    <row r="796" spans="3:3" ht="12.75" customHeight="1">
      <c r="C796" s="2"/>
    </row>
    <row r="797" spans="3:3" ht="12.75" customHeight="1">
      <c r="C797" s="2"/>
    </row>
    <row r="798" spans="3:3" ht="12.75" customHeight="1">
      <c r="C798" s="2"/>
    </row>
    <row r="799" spans="3:3" ht="12.75" customHeight="1">
      <c r="C799" s="2"/>
    </row>
    <row r="800" spans="3:3" ht="12.75" customHeight="1">
      <c r="C800" s="2"/>
    </row>
    <row r="801" spans="3:3" ht="12.75" customHeight="1">
      <c r="C801" s="2"/>
    </row>
    <row r="802" spans="3:3" ht="12.75" customHeight="1">
      <c r="C802" s="2"/>
    </row>
    <row r="803" spans="3:3" ht="12.75" customHeight="1">
      <c r="C803" s="2"/>
    </row>
    <row r="804" spans="3:3" ht="12.75" customHeight="1">
      <c r="C804" s="2"/>
    </row>
    <row r="805" spans="3:3" ht="12.75" customHeight="1">
      <c r="C805" s="2"/>
    </row>
    <row r="806" spans="3:3" ht="12.75" customHeight="1">
      <c r="C806" s="2"/>
    </row>
    <row r="807" spans="3:3" ht="12.75" customHeight="1">
      <c r="C807" s="2"/>
    </row>
    <row r="808" spans="3:3" ht="12.75" customHeight="1">
      <c r="C808" s="2"/>
    </row>
    <row r="809" spans="3:3" ht="12.75" customHeight="1">
      <c r="C809" s="2"/>
    </row>
    <row r="810" spans="3:3" ht="12.75" customHeight="1">
      <c r="C810" s="2"/>
    </row>
    <row r="811" spans="3:3" ht="12.75" customHeight="1">
      <c r="C811" s="2"/>
    </row>
    <row r="812" spans="3:3" ht="12.75" customHeight="1">
      <c r="C812" s="2"/>
    </row>
    <row r="813" spans="3:3" ht="12.75" customHeight="1">
      <c r="C813" s="2"/>
    </row>
    <row r="814" spans="3:3" ht="12.75" customHeight="1">
      <c r="C814" s="2"/>
    </row>
    <row r="815" spans="3:3" ht="12.75" customHeight="1">
      <c r="C815" s="2"/>
    </row>
    <row r="816" spans="3:3" ht="12.75" customHeight="1">
      <c r="C816" s="2"/>
    </row>
    <row r="817" spans="3:3" ht="12.75" customHeight="1">
      <c r="C817" s="2"/>
    </row>
    <row r="818" spans="3:3" ht="12.75" customHeight="1">
      <c r="C818" s="2"/>
    </row>
    <row r="819" spans="3:3" ht="12.75" customHeight="1">
      <c r="C819" s="2"/>
    </row>
    <row r="820" spans="3:3" ht="12.75" customHeight="1">
      <c r="C820" s="2"/>
    </row>
    <row r="821" spans="3:3" ht="12.75" customHeight="1">
      <c r="C821" s="2"/>
    </row>
    <row r="822" spans="3:3" ht="12.75" customHeight="1">
      <c r="C822" s="2"/>
    </row>
    <row r="823" spans="3:3" ht="12.75" customHeight="1">
      <c r="C823" s="2"/>
    </row>
    <row r="824" spans="3:3" ht="12.75" customHeight="1">
      <c r="C824" s="2"/>
    </row>
    <row r="825" spans="3:3" ht="12.75" customHeight="1">
      <c r="C825" s="2"/>
    </row>
    <row r="826" spans="3:3" ht="12.75" customHeight="1">
      <c r="C826" s="2"/>
    </row>
    <row r="827" spans="3:3" ht="12.75" customHeight="1">
      <c r="C827" s="2"/>
    </row>
    <row r="828" spans="3:3" ht="12.75" customHeight="1">
      <c r="C828" s="2"/>
    </row>
    <row r="829" spans="3:3" ht="12.75" customHeight="1">
      <c r="C829" s="2"/>
    </row>
    <row r="830" spans="3:3" ht="12.75" customHeight="1">
      <c r="C830" s="2"/>
    </row>
    <row r="831" spans="3:3" ht="12.75" customHeight="1">
      <c r="C831" s="2"/>
    </row>
    <row r="832" spans="3:3" ht="12.75" customHeight="1">
      <c r="C832" s="2"/>
    </row>
    <row r="833" spans="3:3" ht="12.75" customHeight="1">
      <c r="C833" s="2"/>
    </row>
    <row r="834" spans="3:3" ht="12.75" customHeight="1">
      <c r="C834" s="2"/>
    </row>
    <row r="835" spans="3:3" ht="12.75" customHeight="1">
      <c r="C835" s="2"/>
    </row>
    <row r="836" spans="3:3" ht="12.75" customHeight="1">
      <c r="C836" s="2"/>
    </row>
    <row r="837" spans="3:3" ht="12.75" customHeight="1">
      <c r="C837" s="2"/>
    </row>
    <row r="838" spans="3:3" ht="12.75" customHeight="1">
      <c r="C838" s="2"/>
    </row>
    <row r="839" spans="3:3" ht="12.75" customHeight="1">
      <c r="C839" s="2"/>
    </row>
    <row r="840" spans="3:3" ht="12.75" customHeight="1">
      <c r="C840" s="2"/>
    </row>
    <row r="841" spans="3:3" ht="12.75" customHeight="1">
      <c r="C841" s="2"/>
    </row>
    <row r="842" spans="3:3" ht="12.75" customHeight="1">
      <c r="C842" s="2"/>
    </row>
    <row r="843" spans="3:3" ht="12.75" customHeight="1">
      <c r="C843" s="2"/>
    </row>
    <row r="844" spans="3:3" ht="12.75" customHeight="1">
      <c r="C844" s="2"/>
    </row>
    <row r="845" spans="3:3" ht="12.75" customHeight="1">
      <c r="C845" s="2"/>
    </row>
    <row r="846" spans="3:3" ht="12.75" customHeight="1">
      <c r="C846" s="2"/>
    </row>
    <row r="847" spans="3:3" ht="12.75" customHeight="1">
      <c r="C847" s="2"/>
    </row>
    <row r="848" spans="3:3" ht="12.75" customHeight="1">
      <c r="C848" s="2"/>
    </row>
    <row r="849" spans="3:3" ht="12.75" customHeight="1">
      <c r="C849" s="2"/>
    </row>
    <row r="850" spans="3:3" ht="12.75" customHeight="1">
      <c r="C850" s="2"/>
    </row>
    <row r="851" spans="3:3" ht="12.75" customHeight="1">
      <c r="C851" s="2"/>
    </row>
    <row r="852" spans="3:3" ht="12.75" customHeight="1">
      <c r="C852" s="2"/>
    </row>
    <row r="853" spans="3:3" ht="12.75" customHeight="1">
      <c r="C853" s="2"/>
    </row>
    <row r="854" spans="3:3" ht="12.75" customHeight="1">
      <c r="C854" s="2"/>
    </row>
    <row r="855" spans="3:3" ht="12.75" customHeight="1">
      <c r="C855" s="2"/>
    </row>
    <row r="856" spans="3:3" ht="12.75" customHeight="1">
      <c r="C856" s="2"/>
    </row>
    <row r="857" spans="3:3" ht="12.75" customHeight="1">
      <c r="C857" s="2"/>
    </row>
    <row r="858" spans="3:3" ht="12.75" customHeight="1">
      <c r="C858" s="2"/>
    </row>
    <row r="859" spans="3:3" ht="12.75" customHeight="1">
      <c r="C859" s="2"/>
    </row>
    <row r="860" spans="3:3" ht="12.75" customHeight="1">
      <c r="C860" s="2"/>
    </row>
    <row r="861" spans="3:3" ht="12.75" customHeight="1">
      <c r="C861" s="2"/>
    </row>
    <row r="862" spans="3:3" ht="12.75" customHeight="1">
      <c r="C862" s="2"/>
    </row>
    <row r="863" spans="3:3" ht="12.75" customHeight="1">
      <c r="C863" s="2"/>
    </row>
    <row r="864" spans="3:3" ht="12.75" customHeight="1">
      <c r="C864" s="2"/>
    </row>
    <row r="865" spans="3:3" ht="12.75" customHeight="1">
      <c r="C865" s="2"/>
    </row>
    <row r="866" spans="3:3" ht="12.75" customHeight="1">
      <c r="C866" s="2"/>
    </row>
    <row r="867" spans="3:3" ht="12.75" customHeight="1">
      <c r="C867" s="2"/>
    </row>
    <row r="868" spans="3:3" ht="12.75" customHeight="1">
      <c r="C868" s="2"/>
    </row>
    <row r="869" spans="3:3" ht="12.75" customHeight="1">
      <c r="C869" s="2"/>
    </row>
    <row r="870" spans="3:3" ht="12.75" customHeight="1">
      <c r="C870" s="2"/>
    </row>
    <row r="871" spans="3:3" ht="12.75" customHeight="1">
      <c r="C871" s="2"/>
    </row>
    <row r="872" spans="3:3" ht="12.75" customHeight="1">
      <c r="C872" s="2"/>
    </row>
    <row r="873" spans="3:3" ht="12.75" customHeight="1">
      <c r="C873" s="2"/>
    </row>
    <row r="874" spans="3:3" ht="12.75" customHeight="1">
      <c r="C874" s="2"/>
    </row>
    <row r="875" spans="3:3" ht="12.75" customHeight="1">
      <c r="C875" s="2"/>
    </row>
    <row r="876" spans="3:3" ht="12.75" customHeight="1">
      <c r="C876" s="2"/>
    </row>
    <row r="877" spans="3:3" ht="12.75" customHeight="1">
      <c r="C877" s="2"/>
    </row>
    <row r="878" spans="3:3" ht="12.75" customHeight="1">
      <c r="C878" s="2"/>
    </row>
    <row r="879" spans="3:3" ht="12.75" customHeight="1">
      <c r="C879" s="2"/>
    </row>
    <row r="880" spans="3:3" ht="12.75" customHeight="1">
      <c r="C880" s="2"/>
    </row>
    <row r="881" spans="3:3" ht="12.75" customHeight="1">
      <c r="C881" s="2"/>
    </row>
    <row r="882" spans="3:3" ht="12.75" customHeight="1">
      <c r="C882" s="2"/>
    </row>
    <row r="883" spans="3:3" ht="12.75" customHeight="1">
      <c r="C883" s="2"/>
    </row>
    <row r="884" spans="3:3" ht="12.75" customHeight="1">
      <c r="C884" s="2"/>
    </row>
    <row r="885" spans="3:3" ht="12.75" customHeight="1">
      <c r="C885" s="2"/>
    </row>
    <row r="886" spans="3:3" ht="12.75" customHeight="1">
      <c r="C886" s="2"/>
    </row>
    <row r="887" spans="3:3" ht="12.75" customHeight="1">
      <c r="C887" s="2"/>
    </row>
    <row r="888" spans="3:3" ht="12.75" customHeight="1">
      <c r="C888" s="2"/>
    </row>
    <row r="889" spans="3:3" ht="12.75" customHeight="1">
      <c r="C889" s="2"/>
    </row>
    <row r="890" spans="3:3" ht="12.75" customHeight="1">
      <c r="C890" s="2"/>
    </row>
    <row r="891" spans="3:3" ht="12.75" customHeight="1">
      <c r="C891" s="2"/>
    </row>
    <row r="892" spans="3:3" ht="12.75" customHeight="1">
      <c r="C892" s="2"/>
    </row>
    <row r="893" spans="3:3" ht="12.75" customHeight="1">
      <c r="C893" s="2"/>
    </row>
    <row r="894" spans="3:3" ht="12.75" customHeight="1">
      <c r="C894" s="2"/>
    </row>
    <row r="895" spans="3:3" ht="12.75" customHeight="1">
      <c r="C895" s="2"/>
    </row>
    <row r="896" spans="3:3" ht="12.75" customHeight="1">
      <c r="C896" s="2"/>
    </row>
    <row r="897" spans="3:3" ht="12.75" customHeight="1">
      <c r="C897" s="2"/>
    </row>
    <row r="898" spans="3:3" ht="12.75" customHeight="1">
      <c r="C898" s="2"/>
    </row>
    <row r="899" spans="3:3" ht="12.75" customHeight="1">
      <c r="C899" s="2"/>
    </row>
    <row r="900" spans="3:3" ht="12.75" customHeight="1">
      <c r="C900" s="2"/>
    </row>
    <row r="901" spans="3:3" ht="12.75" customHeight="1">
      <c r="C901" s="2"/>
    </row>
    <row r="902" spans="3:3" ht="12.75" customHeight="1">
      <c r="C902" s="2"/>
    </row>
    <row r="903" spans="3:3" ht="12.75" customHeight="1">
      <c r="C903" s="2"/>
    </row>
    <row r="904" spans="3:3" ht="12.75" customHeight="1">
      <c r="C904" s="2"/>
    </row>
    <row r="905" spans="3:3" ht="12.75" customHeight="1">
      <c r="C905" s="2"/>
    </row>
    <row r="906" spans="3:3" ht="12.75" customHeight="1">
      <c r="C906" s="2"/>
    </row>
    <row r="907" spans="3:3" ht="12.75" customHeight="1">
      <c r="C907" s="2"/>
    </row>
    <row r="908" spans="3:3" ht="12.75" customHeight="1">
      <c r="C908" s="2"/>
    </row>
    <row r="909" spans="3:3" ht="12.75" customHeight="1">
      <c r="C909" s="2"/>
    </row>
    <row r="910" spans="3:3" ht="12.75" customHeight="1">
      <c r="C910" s="2"/>
    </row>
    <row r="911" spans="3:3" ht="12.75" customHeight="1">
      <c r="C911" s="2"/>
    </row>
    <row r="912" spans="3:3" ht="12.75" customHeight="1">
      <c r="C912" s="2"/>
    </row>
    <row r="913" spans="3:3" ht="12.75" customHeight="1">
      <c r="C913" s="2"/>
    </row>
    <row r="914" spans="3:3" ht="12.75" customHeight="1">
      <c r="C914" s="2"/>
    </row>
    <row r="915" spans="3:3" ht="12.75" customHeight="1">
      <c r="C915" s="2"/>
    </row>
    <row r="916" spans="3:3" ht="12.75" customHeight="1">
      <c r="C916" s="2"/>
    </row>
    <row r="917" spans="3:3" ht="12.75" customHeight="1">
      <c r="C917" s="2"/>
    </row>
    <row r="918" spans="3:3" ht="12.75" customHeight="1">
      <c r="C918" s="2"/>
    </row>
    <row r="919" spans="3:3" ht="12.75" customHeight="1">
      <c r="C919" s="2"/>
    </row>
    <row r="920" spans="3:3" ht="12.75" customHeight="1">
      <c r="C920" s="2"/>
    </row>
    <row r="921" spans="3:3" ht="12.75" customHeight="1">
      <c r="C921" s="2"/>
    </row>
    <row r="922" spans="3:3" ht="12.75" customHeight="1">
      <c r="C922" s="2"/>
    </row>
    <row r="923" spans="3:3" ht="12.75" customHeight="1">
      <c r="C923" s="2"/>
    </row>
    <row r="924" spans="3:3" ht="12.75" customHeight="1">
      <c r="C924" s="2"/>
    </row>
    <row r="925" spans="3:3" ht="12.75" customHeight="1">
      <c r="C925" s="2"/>
    </row>
    <row r="926" spans="3:3" ht="12.75" customHeight="1">
      <c r="C926" s="2"/>
    </row>
    <row r="927" spans="3:3" ht="12.75" customHeight="1">
      <c r="C927" s="2"/>
    </row>
    <row r="928" spans="3:3" ht="12.75" customHeight="1">
      <c r="C928" s="2"/>
    </row>
    <row r="929" spans="3:3" ht="12.75" customHeight="1">
      <c r="C929" s="2"/>
    </row>
    <row r="930" spans="3:3" ht="12.75" customHeight="1">
      <c r="C930" s="2"/>
    </row>
    <row r="931" spans="3:3" ht="12.75" customHeight="1">
      <c r="C931" s="2"/>
    </row>
    <row r="932" spans="3:3" ht="12.75" customHeight="1">
      <c r="C932" s="2"/>
    </row>
    <row r="933" spans="3:3" ht="12.75" customHeight="1">
      <c r="C933" s="2"/>
    </row>
    <row r="934" spans="3:3" ht="12.75" customHeight="1">
      <c r="C934" s="2"/>
    </row>
    <row r="935" spans="3:3" ht="12.75" customHeight="1">
      <c r="C935" s="2"/>
    </row>
    <row r="936" spans="3:3" ht="12.75" customHeight="1">
      <c r="C936" s="2"/>
    </row>
    <row r="937" spans="3:3" ht="12.75" customHeight="1">
      <c r="C937" s="2"/>
    </row>
    <row r="938" spans="3:3" ht="12.75" customHeight="1">
      <c r="C938" s="2"/>
    </row>
    <row r="939" spans="3:3" ht="12.75" customHeight="1">
      <c r="C939" s="2"/>
    </row>
    <row r="940" spans="3:3" ht="12.75" customHeight="1">
      <c r="C940" s="2"/>
    </row>
    <row r="941" spans="3:3" ht="12.75" customHeight="1">
      <c r="C941" s="2"/>
    </row>
    <row r="942" spans="3:3" ht="12.75" customHeight="1">
      <c r="C942" s="2"/>
    </row>
    <row r="943" spans="3:3" ht="12.75" customHeight="1">
      <c r="C943" s="2"/>
    </row>
    <row r="944" spans="3:3" ht="12.75" customHeight="1">
      <c r="C944" s="2"/>
    </row>
    <row r="945" spans="3:3" ht="12.75" customHeight="1">
      <c r="C945" s="2"/>
    </row>
    <row r="946" spans="3:3" ht="12.75" customHeight="1">
      <c r="C946" s="2"/>
    </row>
    <row r="947" spans="3:3" ht="12.75" customHeight="1">
      <c r="C947" s="2"/>
    </row>
    <row r="948" spans="3:3" ht="12.75" customHeight="1">
      <c r="C948" s="2"/>
    </row>
    <row r="949" spans="3:3" ht="12.75" customHeight="1">
      <c r="C949" s="2"/>
    </row>
    <row r="950" spans="3:3" ht="12.75" customHeight="1">
      <c r="C950" s="2"/>
    </row>
    <row r="951" spans="3:3" ht="12.75" customHeight="1">
      <c r="C951" s="2"/>
    </row>
    <row r="952" spans="3:3" ht="12.75" customHeight="1">
      <c r="C952" s="2"/>
    </row>
    <row r="953" spans="3:3" ht="12.75" customHeight="1">
      <c r="C953" s="2"/>
    </row>
    <row r="954" spans="3:3" ht="12.75" customHeight="1">
      <c r="C954" s="2"/>
    </row>
    <row r="955" spans="3:3" ht="12.75" customHeight="1">
      <c r="C955" s="2"/>
    </row>
    <row r="956" spans="3:3" ht="12.75" customHeight="1">
      <c r="C956" s="2"/>
    </row>
    <row r="957" spans="3:3" ht="12.75" customHeight="1">
      <c r="C957" s="2"/>
    </row>
    <row r="958" spans="3:3" ht="12.75" customHeight="1">
      <c r="C958" s="2"/>
    </row>
    <row r="959" spans="3:3" ht="12.75" customHeight="1">
      <c r="C959" s="2"/>
    </row>
    <row r="960" spans="3:3" ht="12.75" customHeight="1">
      <c r="C960" s="2"/>
    </row>
    <row r="961" spans="3:3" ht="12.75" customHeight="1">
      <c r="C961" s="2"/>
    </row>
    <row r="962" spans="3:3" ht="12.75" customHeight="1">
      <c r="C962" s="2"/>
    </row>
    <row r="963" spans="3:3" ht="12.75" customHeight="1">
      <c r="C963" s="2"/>
    </row>
    <row r="964" spans="3:3" ht="12.75" customHeight="1">
      <c r="C964" s="2"/>
    </row>
    <row r="965" spans="3:3" ht="12.75" customHeight="1">
      <c r="C965" s="2"/>
    </row>
    <row r="966" spans="3:3" ht="12.75" customHeight="1">
      <c r="C966" s="2"/>
    </row>
    <row r="967" spans="3:3" ht="12.75" customHeight="1">
      <c r="C967" s="2"/>
    </row>
    <row r="968" spans="3:3" ht="12.75" customHeight="1">
      <c r="C968" s="2"/>
    </row>
    <row r="969" spans="3:3" ht="12.75" customHeight="1">
      <c r="C969" s="2"/>
    </row>
    <row r="970" spans="3:3" ht="12.75" customHeight="1">
      <c r="C970" s="2"/>
    </row>
    <row r="971" spans="3:3" ht="12.75" customHeight="1">
      <c r="C971" s="2"/>
    </row>
    <row r="972" spans="3:3" ht="12.75" customHeight="1">
      <c r="C972" s="2"/>
    </row>
    <row r="973" spans="3:3" ht="12.75" customHeight="1">
      <c r="C973" s="2"/>
    </row>
    <row r="974" spans="3:3" ht="12.75" customHeight="1">
      <c r="C974" s="2"/>
    </row>
    <row r="975" spans="3:3" ht="12.75" customHeight="1">
      <c r="C975" s="2"/>
    </row>
    <row r="976" spans="3:3" ht="12.75" customHeight="1">
      <c r="C976" s="2"/>
    </row>
    <row r="977" spans="3:3" ht="12.75" customHeight="1">
      <c r="C977" s="2"/>
    </row>
    <row r="978" spans="3:3" ht="12.75" customHeight="1">
      <c r="C978" s="2"/>
    </row>
    <row r="979" spans="3:3" ht="12.75" customHeight="1">
      <c r="C979" s="2"/>
    </row>
    <row r="980" spans="3:3" ht="12.75" customHeight="1">
      <c r="C980" s="2"/>
    </row>
    <row r="981" spans="3:3" ht="12.75" customHeight="1">
      <c r="C981" s="2"/>
    </row>
    <row r="982" spans="3:3" ht="12.75" customHeight="1">
      <c r="C982" s="2"/>
    </row>
    <row r="983" spans="3:3" ht="12.75" customHeight="1">
      <c r="C983" s="2"/>
    </row>
    <row r="984" spans="3:3" ht="12.75" customHeight="1">
      <c r="C984" s="2"/>
    </row>
    <row r="985" spans="3:3" ht="12.75" customHeight="1">
      <c r="C985" s="2"/>
    </row>
    <row r="986" spans="3:3" ht="12.75" customHeight="1">
      <c r="C986" s="2"/>
    </row>
    <row r="987" spans="3:3" ht="12.75" customHeight="1">
      <c r="C987" s="2"/>
    </row>
    <row r="988" spans="3:3" ht="12.75" customHeight="1">
      <c r="C988" s="2"/>
    </row>
    <row r="989" spans="3:3" ht="12.75" customHeight="1">
      <c r="C989" s="2"/>
    </row>
    <row r="990" spans="3:3" ht="12.75" customHeight="1">
      <c r="C990" s="2"/>
    </row>
    <row r="991" spans="3:3" ht="12.75" customHeight="1">
      <c r="C991" s="2"/>
    </row>
    <row r="992" spans="3:3" ht="12.75" customHeight="1">
      <c r="C992" s="2"/>
    </row>
    <row r="993" spans="3:3" ht="12.75" customHeight="1">
      <c r="C993" s="2"/>
    </row>
    <row r="994" spans="3:3" ht="12.75" customHeight="1">
      <c r="C994" s="2"/>
    </row>
    <row r="995" spans="3:3" ht="12.75" customHeight="1">
      <c r="C995" s="2"/>
    </row>
    <row r="996" spans="3:3" ht="12.75" customHeight="1">
      <c r="C996" s="2"/>
    </row>
    <row r="997" spans="3:3" ht="12.75" customHeight="1">
      <c r="C997" s="2"/>
    </row>
    <row r="998" spans="3:3" ht="12.75" customHeight="1">
      <c r="C998" s="2"/>
    </row>
    <row r="999" spans="3:3" ht="12.75" customHeight="1">
      <c r="C999" s="2"/>
    </row>
    <row r="1000" spans="3:3" ht="12.75" customHeight="1">
      <c r="C1000" s="2"/>
    </row>
  </sheetData>
  <pageMargins left="0.75" right="0.75" top="1" bottom="1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Z1002"/>
  <sheetViews>
    <sheetView workbookViewId="0">
      <selection activeCell="E11" sqref="E11"/>
    </sheetView>
  </sheetViews>
  <sheetFormatPr defaultColWidth="14.4609375" defaultRowHeight="15" customHeight="1"/>
  <cols>
    <col min="1" max="1" width="16.84375" customWidth="1"/>
    <col min="2" max="2" width="34.23046875" bestFit="1" customWidth="1"/>
    <col min="3" max="3" width="14.23046875" bestFit="1" customWidth="1"/>
    <col min="4" max="4" width="8.53515625" customWidth="1"/>
    <col min="5" max="5" width="14.4609375" customWidth="1"/>
    <col min="6" max="6" width="24.4609375" customWidth="1"/>
    <col min="7" max="26" width="8.53515625" customWidth="1"/>
  </cols>
  <sheetData>
    <row r="1" spans="1:26" ht="12.75" customHeight="1">
      <c r="A1" s="3" t="s">
        <v>0</v>
      </c>
      <c r="B1" s="4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</row>
    <row r="2" spans="1:26" ht="12.75" customHeight="1" thickBot="1">
      <c r="A2" s="3" t="s">
        <v>2</v>
      </c>
      <c r="B2" s="6">
        <f ca="1">NOW()</f>
        <v>45254.579872337963</v>
      </c>
      <c r="C2" s="6"/>
      <c r="D2" s="6"/>
      <c r="E2" s="8"/>
    </row>
    <row r="3" spans="1:26" ht="12.75" customHeight="1" thickTop="1" thickBot="1">
      <c r="A3" s="12">
        <f>Results!N16</f>
        <v>1</v>
      </c>
      <c r="B3" s="13" t="str">
        <f>Results!O16</f>
        <v>Пудовиков Андрей Дмитриевич</v>
      </c>
      <c r="C3" s="14">
        <f>Results!P16</f>
        <v>100.06880931219358</v>
      </c>
    </row>
    <row r="4" spans="1:26" ht="12.75" customHeight="1" thickTop="1" thickBot="1">
      <c r="A4" s="15">
        <f>Results!N17</f>
        <v>2</v>
      </c>
      <c r="B4" s="16" t="str">
        <f>Results!O17</f>
        <v>Викторов Антон Андреевич</v>
      </c>
      <c r="C4" s="14">
        <f>Results!P17</f>
        <v>100.02966994000883</v>
      </c>
    </row>
    <row r="5" spans="1:26" ht="12.75" customHeight="1" thickTop="1" thickBot="1">
      <c r="A5" s="15">
        <f>Results!N18</f>
        <v>3</v>
      </c>
      <c r="B5" s="16" t="str">
        <f>Results!O18</f>
        <v>Боровко Никита Алексеевич</v>
      </c>
      <c r="C5" s="14">
        <f>Results!P18</f>
        <v>100</v>
      </c>
    </row>
    <row r="6" spans="1:26" ht="12.75" customHeight="1" thickTop="1" thickBot="1">
      <c r="A6" s="15">
        <f>Results!N19</f>
        <v>4</v>
      </c>
      <c r="B6" s="16" t="str">
        <f>Results!O19</f>
        <v>Арифуллин Артур Исхакович</v>
      </c>
      <c r="C6" s="14">
        <f>Results!P19</f>
        <v>100</v>
      </c>
    </row>
    <row r="7" spans="1:26" ht="12.75" customHeight="1" thickTop="1" thickBot="1">
      <c r="A7" s="15">
        <f>Results!N20</f>
        <v>5</v>
      </c>
      <c r="B7" s="16" t="str">
        <f>Results!O20</f>
        <v>Кадерова Надия Ренатовна</v>
      </c>
      <c r="C7" s="14">
        <f>Results!P20</f>
        <v>100</v>
      </c>
    </row>
    <row r="8" spans="1:26" ht="12.75" customHeight="1" thickTop="1" thickBot="1">
      <c r="A8" s="15">
        <f>Results!N21</f>
        <v>6</v>
      </c>
      <c r="B8" s="16" t="str">
        <f>Results!O21</f>
        <v>Карпов Кирилл Михайлович</v>
      </c>
      <c r="C8" s="14">
        <f>Results!P21</f>
        <v>100</v>
      </c>
    </row>
    <row r="9" spans="1:26" ht="12.75" customHeight="1" thickTop="1" thickBot="1">
      <c r="A9" s="15">
        <f>Results!N22</f>
        <v>7</v>
      </c>
      <c r="B9" s="16" t="str">
        <f>Results!O22</f>
        <v>Ладысева Алина Александровна</v>
      </c>
      <c r="C9" s="14">
        <f>Results!P22</f>
        <v>100</v>
      </c>
    </row>
    <row r="10" spans="1:26" ht="12.75" customHeight="1" thickTop="1" thickBot="1">
      <c r="A10" s="15">
        <f>Results!N23</f>
        <v>8</v>
      </c>
      <c r="B10" s="16" t="str">
        <f>Results!O23</f>
        <v xml:space="preserve">Мазур Анастасия Вадимовна </v>
      </c>
      <c r="C10" s="14">
        <f>Results!P23</f>
        <v>100</v>
      </c>
    </row>
    <row r="11" spans="1:26" ht="12.75" customHeight="1" thickTop="1" thickBot="1">
      <c r="A11" s="15">
        <f>Results!N24</f>
        <v>9</v>
      </c>
      <c r="B11" s="16" t="str">
        <f>Results!O24</f>
        <v>Навалихин Александр Ильич</v>
      </c>
      <c r="C11" s="14">
        <f>Results!P24</f>
        <v>100</v>
      </c>
    </row>
    <row r="12" spans="1:26" ht="12.75" customHeight="1" thickTop="1" thickBot="1">
      <c r="A12" s="15">
        <f>Results!N25</f>
        <v>10</v>
      </c>
      <c r="B12" s="16" t="str">
        <f>Results!O25</f>
        <v>Низов Александр Сергеевич</v>
      </c>
      <c r="C12" s="14">
        <f>Results!P25</f>
        <v>100</v>
      </c>
    </row>
    <row r="13" spans="1:26" ht="12.75" customHeight="1" thickTop="1" thickBot="1">
      <c r="A13" s="15">
        <f>Results!N26</f>
        <v>11</v>
      </c>
      <c r="B13" s="16" t="str">
        <f>Results!O26</f>
        <v>Оганисян Эдгар Гагикович</v>
      </c>
      <c r="C13" s="14">
        <f>Results!P26</f>
        <v>100</v>
      </c>
    </row>
    <row r="14" spans="1:26" ht="12.75" customHeight="1" thickTop="1" thickBot="1">
      <c r="A14" s="15">
        <f>Results!N27</f>
        <v>12</v>
      </c>
      <c r="B14" s="16" t="str">
        <f>Results!O27</f>
        <v>Осипов Денис Михайлович</v>
      </c>
      <c r="C14" s="14">
        <f>Results!P27</f>
        <v>100</v>
      </c>
    </row>
    <row r="15" spans="1:26" ht="12.75" customHeight="1" thickTop="1" thickBot="1">
      <c r="A15" s="15">
        <f>Results!N28</f>
        <v>13</v>
      </c>
      <c r="B15" s="16" t="str">
        <f>Results!O28</f>
        <v>Пикуров Даниил Сергеевич</v>
      </c>
      <c r="C15" s="14">
        <f>Results!P28</f>
        <v>100</v>
      </c>
    </row>
    <row r="16" spans="1:26" ht="12.75" customHeight="1" thickTop="1" thickBot="1">
      <c r="A16" s="15">
        <f>Results!N29</f>
        <v>14</v>
      </c>
      <c r="B16" s="16" t="str">
        <f>Results!O29</f>
        <v>Андрианов Владислав Дмитриевич</v>
      </c>
      <c r="C16" s="14">
        <f>Results!P29</f>
        <v>100</v>
      </c>
    </row>
    <row r="17" spans="1:7" ht="12.75" customHeight="1" thickTop="1" thickBot="1">
      <c r="A17" s="15">
        <f>Results!N30</f>
        <v>15</v>
      </c>
      <c r="B17" s="16" t="str">
        <f>Results!O30</f>
        <v>Рачков Денис Сергеевич</v>
      </c>
      <c r="C17" s="14">
        <f>Results!P30</f>
        <v>100</v>
      </c>
    </row>
    <row r="18" spans="1:7" ht="12.75" customHeight="1" thickTop="1" thickBot="1">
      <c r="A18" s="15">
        <f>Results!N31</f>
        <v>16</v>
      </c>
      <c r="B18" s="16" t="str">
        <f>Results!O31</f>
        <v>Селюшкина Наталья Евгеньевна</v>
      </c>
      <c r="C18" s="14">
        <f>Results!P31</f>
        <v>100</v>
      </c>
    </row>
    <row r="19" spans="1:7" ht="12.75" customHeight="1" thickTop="1" thickBot="1">
      <c r="A19" s="15">
        <f>Results!N32</f>
        <v>17</v>
      </c>
      <c r="B19" s="16" t="str">
        <f>Results!O32</f>
        <v>Смирнов Иван Сергеевич</v>
      </c>
      <c r="C19" s="14">
        <f>Results!P32</f>
        <v>100</v>
      </c>
    </row>
    <row r="20" spans="1:7" ht="12.75" customHeight="1" thickTop="1" thickBot="1">
      <c r="A20" s="15">
        <f>Results!N33</f>
        <v>18</v>
      </c>
      <c r="B20" s="16" t="str">
        <f>Results!O33</f>
        <v>Тижин Никита Романович</v>
      </c>
      <c r="C20" s="14">
        <f>Results!P33</f>
        <v>100</v>
      </c>
    </row>
    <row r="21" spans="1:7" ht="12.75" customHeight="1" thickTop="1" thickBot="1">
      <c r="A21" s="19">
        <f>Results!N34</f>
        <v>19</v>
      </c>
      <c r="B21" s="20" t="str">
        <f>Results!O34</f>
        <v>Хорошев Олег Евгеньевич</v>
      </c>
      <c r="C21" s="14">
        <f>Results!P34</f>
        <v>100</v>
      </c>
    </row>
    <row r="22" spans="1:7" ht="12.75" customHeight="1" thickTop="1" thickBot="1">
      <c r="A22" s="15">
        <f>Results!N35</f>
        <v>20</v>
      </c>
      <c r="B22" s="16" t="str">
        <f>Results!O35</f>
        <v>Хоружев Илья Максимович</v>
      </c>
      <c r="C22" s="14">
        <f>Results!P35</f>
        <v>100</v>
      </c>
    </row>
    <row r="23" spans="1:7" ht="12.75" customHeight="1" thickTop="1" thickBot="1">
      <c r="A23" s="15">
        <f>Results!N36</f>
        <v>21</v>
      </c>
      <c r="B23" s="16" t="str">
        <f>Results!O36</f>
        <v>Чевилев Никита Вячеславович</v>
      </c>
      <c r="C23" s="14">
        <f>Results!P36</f>
        <v>100</v>
      </c>
    </row>
    <row r="24" spans="1:7" ht="12.75" customHeight="1" thickTop="1" thickBot="1">
      <c r="A24" s="15">
        <f>Results!N37</f>
        <v>22</v>
      </c>
      <c r="B24" s="16" t="str">
        <f>Results!O37</f>
        <v>Шурыгин Всеволод Евгеньевич</v>
      </c>
      <c r="C24" s="14">
        <f>Results!P37</f>
        <v>100</v>
      </c>
    </row>
    <row r="25" spans="1:7" ht="12.75" customHeight="1" thickTop="1" thickBot="1">
      <c r="A25" s="15">
        <f>Results!N38</f>
        <v>23</v>
      </c>
      <c r="B25" s="16" t="str">
        <f>Results!O38</f>
        <v>Шустова Екатерина Дмитриевна</v>
      </c>
      <c r="C25" s="14">
        <f>Results!P38</f>
        <v>100</v>
      </c>
    </row>
    <row r="26" spans="1:7" ht="12.75" customHeight="1" thickTop="1" thickBot="1">
      <c r="A26" s="15">
        <f>Results!N39</f>
        <v>24</v>
      </c>
      <c r="B26" s="16" t="str">
        <f>Results!O39</f>
        <v>Риве Алина Адриановна</v>
      </c>
      <c r="C26" s="14">
        <f>Results!P39</f>
        <v>99.97033005999117</v>
      </c>
      <c r="F26" t="s">
        <v>25</v>
      </c>
    </row>
    <row r="27" spans="1:7" ht="12.75" customHeight="1" thickTop="1" thickBot="1">
      <c r="A27" s="19">
        <f>Results!N40</f>
        <v>25</v>
      </c>
      <c r="B27" s="20" t="str">
        <f>Results!O40</f>
        <v>Болотин Данила Александрович</v>
      </c>
      <c r="C27" s="14">
        <f>Results!P40</f>
        <v>99.931190687806421</v>
      </c>
    </row>
    <row r="28" spans="1:7" ht="12.75" customHeight="1" thickTop="1">
      <c r="A28" s="45"/>
      <c r="B28" s="46"/>
      <c r="C28" s="46"/>
    </row>
    <row r="29" spans="1:7" ht="12.75" customHeight="1" thickBot="1">
      <c r="A29" t="s">
        <v>8</v>
      </c>
      <c r="E29" t="s">
        <v>9</v>
      </c>
    </row>
    <row r="30" spans="1:7" ht="12.75" customHeight="1">
      <c r="A30" s="12">
        <v>1</v>
      </c>
      <c r="B30" s="13" t="str">
        <f t="array" ref="B30:C54">APlace(портфели!$B$2:$B$26,портфели!$Q$2:$Q$26)</f>
        <v>Кадерова Надия Ренатовна</v>
      </c>
      <c r="C30" s="14">
        <v>24367.953425991291</v>
      </c>
      <c r="E30" s="12">
        <v>1</v>
      </c>
      <c r="F30" s="13" t="str">
        <f t="array" ref="F30:G54">APlace(портфели!$B$2:$B$26,портфели!$S$2:$S$26)</f>
        <v>Кадерова Надия Ренатовна</v>
      </c>
      <c r="G30" s="14">
        <v>42886.009317221455</v>
      </c>
    </row>
    <row r="31" spans="1:7" ht="12.75" customHeight="1">
      <c r="A31" s="15">
        <v>2</v>
      </c>
      <c r="B31" s="16" t="str">
        <v>Селюшкина Наталья Евгеньевна</v>
      </c>
      <c r="C31" s="17">
        <v>24367.953425991291</v>
      </c>
      <c r="E31" s="15">
        <v>2</v>
      </c>
      <c r="F31" s="16" t="str">
        <v>Селюшкина Наталья Евгеньевна</v>
      </c>
      <c r="G31" s="17">
        <v>37277.423831031163</v>
      </c>
    </row>
    <row r="32" spans="1:7" ht="12.75" customHeight="1">
      <c r="A32" s="15">
        <v>3</v>
      </c>
      <c r="B32" s="16" t="str">
        <v>Андрианов Владислав Дмитриевич</v>
      </c>
      <c r="C32" s="17">
        <v>18992.641278445564</v>
      </c>
      <c r="E32" s="15">
        <v>3</v>
      </c>
      <c r="F32" s="16" t="str">
        <v>Андрианов Владислав Дмитриевич</v>
      </c>
      <c r="G32" s="17">
        <v>34023.452371136336</v>
      </c>
    </row>
    <row r="33" spans="1:7" ht="12.75" customHeight="1">
      <c r="A33" s="15">
        <v>4</v>
      </c>
      <c r="B33" s="16" t="str">
        <v>Осипов Денис Михайлович</v>
      </c>
      <c r="C33" s="17">
        <v>18992.641278445564</v>
      </c>
      <c r="E33" s="15">
        <v>4</v>
      </c>
      <c r="F33" s="16" t="str">
        <v>Осипов Денис Михайлович</v>
      </c>
      <c r="G33" s="17">
        <v>28456.777413342501</v>
      </c>
    </row>
    <row r="34" spans="1:7" ht="12.75" customHeight="1">
      <c r="A34" s="15">
        <v>5</v>
      </c>
      <c r="B34" s="16" t="str">
        <v>Викторов Антон Андреевич</v>
      </c>
      <c r="C34" s="17">
        <v>11651.071226986034</v>
      </c>
      <c r="E34" s="15">
        <v>5</v>
      </c>
      <c r="F34" s="16" t="str">
        <v>Тижин Никита Романович</v>
      </c>
      <c r="G34" s="17">
        <v>20233.909594771823</v>
      </c>
    </row>
    <row r="35" spans="1:7" ht="12.75" customHeight="1">
      <c r="A35" s="15">
        <v>6</v>
      </c>
      <c r="B35" s="16" t="str">
        <v>Риве Алина Адриановна</v>
      </c>
      <c r="C35" s="17">
        <v>11651.071226986034</v>
      </c>
      <c r="E35" s="15">
        <v>6</v>
      </c>
      <c r="F35" s="16" t="str">
        <v>Хорошев Олег Евгеньевич</v>
      </c>
      <c r="G35" s="17">
        <v>20233.909594771823</v>
      </c>
    </row>
    <row r="36" spans="1:7" ht="12.75" customHeight="1">
      <c r="A36" s="15">
        <v>7</v>
      </c>
      <c r="B36" s="16" t="str">
        <v>Ладысева Алина Александровна</v>
      </c>
      <c r="C36" s="17">
        <v>11122.247614143896</v>
      </c>
      <c r="E36" s="15">
        <v>7</v>
      </c>
      <c r="F36" s="16" t="str">
        <v>Риве Алина Адриановна</v>
      </c>
      <c r="G36" s="17">
        <v>19920.346562768213</v>
      </c>
    </row>
    <row r="37" spans="1:7" ht="12.75" customHeight="1">
      <c r="A37" s="15">
        <v>8</v>
      </c>
      <c r="B37" s="16" t="str">
        <v>Тижин Никита Романович</v>
      </c>
      <c r="C37" s="17">
        <v>11122.247614143896</v>
      </c>
      <c r="E37" s="15">
        <v>8</v>
      </c>
      <c r="F37" s="16" t="str">
        <v>Навалихин Александр Ильич</v>
      </c>
      <c r="G37" s="17">
        <v>18813.334423822107</v>
      </c>
    </row>
    <row r="38" spans="1:7" ht="12.75" customHeight="1">
      <c r="A38" s="15">
        <v>9</v>
      </c>
      <c r="B38" s="16" t="str">
        <v>Хорошев Олег Евгеньевич</v>
      </c>
      <c r="C38" s="17">
        <v>11122.247614143896</v>
      </c>
      <c r="E38" s="15">
        <v>9</v>
      </c>
      <c r="F38" s="16" t="str">
        <v>Хоружев Илья Максимович</v>
      </c>
      <c r="G38" s="17">
        <v>18683.865584615673</v>
      </c>
    </row>
    <row r="39" spans="1:7" ht="12.75" customHeight="1">
      <c r="A39" s="15">
        <v>10</v>
      </c>
      <c r="B39" s="16" t="str">
        <v>Навалихин Александр Ильич</v>
      </c>
      <c r="C39" s="17">
        <v>10533.121700815123</v>
      </c>
      <c r="E39" s="15">
        <v>10</v>
      </c>
      <c r="F39" s="16" t="str">
        <v>Карпов Кирилл Михайлович</v>
      </c>
      <c r="G39" s="17">
        <v>18461.663415593724</v>
      </c>
    </row>
    <row r="40" spans="1:7" ht="12.75" customHeight="1">
      <c r="A40" s="15">
        <v>11</v>
      </c>
      <c r="B40" s="16" t="str">
        <v>Чевилев Никита Вячеславович</v>
      </c>
      <c r="C40" s="17">
        <v>10533.121700815123</v>
      </c>
      <c r="E40" s="15">
        <v>11</v>
      </c>
      <c r="F40" s="16" t="str">
        <v>Викторов Антон Андреевич</v>
      </c>
      <c r="G40" s="17">
        <v>18408.266968387605</v>
      </c>
    </row>
    <row r="41" spans="1:7" ht="12.75" customHeight="1">
      <c r="A41" s="15">
        <v>12</v>
      </c>
      <c r="B41" s="16" t="str">
        <v>Шустова Екатерина Дмитриевна</v>
      </c>
      <c r="C41" s="17">
        <v>10533.121700815123</v>
      </c>
      <c r="E41" s="15">
        <v>12</v>
      </c>
      <c r="F41" s="16" t="str">
        <v>Низов Александр Сергеевич</v>
      </c>
      <c r="G41" s="17">
        <v>16874.749278316362</v>
      </c>
    </row>
    <row r="42" spans="1:7" ht="12.75" customHeight="1">
      <c r="A42" s="15">
        <v>13</v>
      </c>
      <c r="B42" s="16" t="str">
        <v>Смирнов Иван Сергеевич</v>
      </c>
      <c r="C42" s="17">
        <v>10509.46225084966</v>
      </c>
      <c r="E42" s="15">
        <v>13</v>
      </c>
      <c r="F42" s="16" t="str">
        <v>Ладысева Алина Александровна</v>
      </c>
      <c r="G42" s="17">
        <v>16355.029061182053</v>
      </c>
    </row>
    <row r="43" spans="1:7" ht="12.75" customHeight="1">
      <c r="A43" s="15">
        <v>14</v>
      </c>
      <c r="B43" s="16" t="str">
        <v>Карпов Кирилл Михайлович</v>
      </c>
      <c r="C43" s="17">
        <v>10509.46225084966</v>
      </c>
      <c r="E43" s="15">
        <v>14</v>
      </c>
      <c r="F43" s="16" t="str">
        <v>Смирнов Иван Сергеевич</v>
      </c>
      <c r="G43" s="17">
        <v>16111.39078564555</v>
      </c>
    </row>
    <row r="44" spans="1:7" ht="12.75" customHeight="1">
      <c r="A44" s="15">
        <v>15</v>
      </c>
      <c r="B44" s="16" t="str">
        <v xml:space="preserve">Мазур Анастасия Вадимовна </v>
      </c>
      <c r="C44" s="17">
        <v>10475.907047118939</v>
      </c>
      <c r="E44" s="15">
        <v>15</v>
      </c>
      <c r="F44" s="16" t="str">
        <v>Чевилев Никита Вячеславович</v>
      </c>
      <c r="G44" s="17">
        <v>15837.552441591912</v>
      </c>
    </row>
    <row r="45" spans="1:7" ht="12.75" customHeight="1">
      <c r="A45" s="15">
        <v>16</v>
      </c>
      <c r="B45" s="16" t="str">
        <v>Хоружев Илья Максимович</v>
      </c>
      <c r="C45" s="17">
        <v>10475.907047118939</v>
      </c>
      <c r="E45" s="15">
        <v>16</v>
      </c>
      <c r="F45" s="16" t="str">
        <v>Шустова Екатерина Дмитриевна</v>
      </c>
      <c r="G45" s="17">
        <v>15837.552441591912</v>
      </c>
    </row>
    <row r="46" spans="1:7" ht="12.75" customHeight="1">
      <c r="A46" s="15">
        <v>17</v>
      </c>
      <c r="B46" s="16" t="str">
        <v>Низов Александр Сергеевич</v>
      </c>
      <c r="C46" s="17">
        <v>9194.0320527093972</v>
      </c>
      <c r="E46" s="15">
        <v>17</v>
      </c>
      <c r="F46" s="16" t="str">
        <v xml:space="preserve">Мазур Анастасия Вадимовна </v>
      </c>
      <c r="G46" s="17">
        <v>15778.801819504461</v>
      </c>
    </row>
    <row r="47" spans="1:7" ht="12.75" customHeight="1">
      <c r="A47" s="15">
        <v>18</v>
      </c>
      <c r="B47" s="16" t="str">
        <v>Шурыгин Всеволод Евгеньевич</v>
      </c>
      <c r="C47" s="17">
        <v>9194.0320527093972</v>
      </c>
      <c r="E47" s="15">
        <v>18</v>
      </c>
      <c r="F47" s="16" t="str">
        <v>Пудовиков Андрей Дмитриевич</v>
      </c>
      <c r="G47" s="17">
        <v>15557.238011300638</v>
      </c>
    </row>
    <row r="48" spans="1:7" ht="12.75" customHeight="1">
      <c r="A48" s="15">
        <v>19</v>
      </c>
      <c r="B48" s="16" t="str">
        <v>Оганисян Эдгар Гагикович</v>
      </c>
      <c r="C48" s="17">
        <v>9194.0320527093972</v>
      </c>
      <c r="E48" s="15">
        <v>19</v>
      </c>
      <c r="F48" s="16" t="str">
        <v>Арифуллин Артур Исхакович</v>
      </c>
      <c r="G48" s="17">
        <v>14935.375228508776</v>
      </c>
    </row>
    <row r="49" spans="1:7" ht="12.75" customHeight="1">
      <c r="A49" s="15">
        <v>20</v>
      </c>
      <c r="B49" s="16" t="str">
        <v>Пудовиков Андрей Дмитриевич</v>
      </c>
      <c r="C49" s="17">
        <v>8787.1772208974216</v>
      </c>
      <c r="E49" s="15">
        <v>20</v>
      </c>
      <c r="F49" s="16" t="str">
        <v>Оганисян Эдгар Гагикович</v>
      </c>
      <c r="G49" s="17">
        <v>13370.924658097907</v>
      </c>
    </row>
    <row r="50" spans="1:7" ht="12.75" customHeight="1">
      <c r="A50" s="15">
        <v>21</v>
      </c>
      <c r="B50" s="16" t="str">
        <v>Болотин Данила Александрович</v>
      </c>
      <c r="C50" s="17">
        <v>8787.1772208974216</v>
      </c>
      <c r="E50" s="15">
        <v>21</v>
      </c>
      <c r="F50" s="16" t="str">
        <v>Шурыгин Всеволод Евгеньевич</v>
      </c>
      <c r="G50" s="17">
        <v>13370.924658097907</v>
      </c>
    </row>
    <row r="51" spans="1:7" ht="12.75" customHeight="1" thickBot="1">
      <c r="A51" s="15">
        <v>22</v>
      </c>
      <c r="B51" s="16" t="str">
        <v>Пикуров Даниил Сергеевич</v>
      </c>
      <c r="C51" s="17">
        <v>8302.9818288690112</v>
      </c>
      <c r="E51" s="15">
        <v>22</v>
      </c>
      <c r="F51" s="20" t="str">
        <v>Болотин Данила Александрович</v>
      </c>
      <c r="G51" s="21">
        <v>13350.002633616312</v>
      </c>
    </row>
    <row r="52" spans="1:7" ht="12.75" customHeight="1" thickTop="1">
      <c r="A52" s="15">
        <v>23</v>
      </c>
      <c r="B52" s="16" t="str">
        <v>Арифуллин Артур Исхакович</v>
      </c>
      <c r="C52" s="17">
        <v>8302.9818288690112</v>
      </c>
      <c r="E52" s="15">
        <v>23</v>
      </c>
      <c r="F52" s="16" t="str">
        <v>Рачков Денис Сергеевич</v>
      </c>
      <c r="G52" s="17">
        <v>12566.841343508166</v>
      </c>
    </row>
    <row r="53" spans="1:7" ht="12.75" customHeight="1">
      <c r="A53" s="15">
        <v>24</v>
      </c>
      <c r="B53" s="16" t="str">
        <v>Рачков Денис Сергеевич</v>
      </c>
      <c r="C53" s="17">
        <v>7591.055860593332</v>
      </c>
      <c r="E53" s="15">
        <v>24</v>
      </c>
      <c r="F53" s="16" t="str">
        <v>Боровко Никита Алексеевич</v>
      </c>
      <c r="G53" s="17">
        <v>12405.510185868168</v>
      </c>
    </row>
    <row r="54" spans="1:7" ht="12.75" customHeight="1" thickBot="1">
      <c r="A54" s="19">
        <v>25</v>
      </c>
      <c r="B54" s="20" t="str">
        <v>Боровко Никита Алексеевич</v>
      </c>
      <c r="C54" s="21">
        <v>7591.055860593332</v>
      </c>
      <c r="E54" s="15">
        <v>25</v>
      </c>
      <c r="F54" s="20" t="str">
        <v>Пикуров Даниил Сергеевич</v>
      </c>
      <c r="G54" s="21">
        <v>12379.004322945933</v>
      </c>
    </row>
    <row r="55" spans="1:7" ht="12.75" customHeight="1" thickTop="1">
      <c r="A55" s="15">
        <v>26</v>
      </c>
      <c r="B55" s="16"/>
      <c r="C55" s="17"/>
    </row>
    <row r="56" spans="1:7" ht="12.75" customHeight="1">
      <c r="A56" s="15">
        <v>27</v>
      </c>
      <c r="B56" s="16"/>
      <c r="C56" s="17"/>
    </row>
    <row r="57" spans="1:7" ht="12.75" customHeight="1">
      <c r="A57" s="19">
        <v>28</v>
      </c>
      <c r="B57" s="20"/>
      <c r="C57" s="21"/>
    </row>
    <row r="58" spans="1:7" ht="12.75" customHeight="1"/>
    <row r="59" spans="1:7" ht="12.75" customHeight="1"/>
    <row r="60" spans="1:7" ht="12.75" customHeight="1"/>
    <row r="61" spans="1:7" ht="12.75" customHeight="1"/>
    <row r="62" spans="1:7" ht="12.75" customHeight="1"/>
    <row r="63" spans="1:7" ht="12.75" customHeight="1"/>
    <row r="64" spans="1:7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  <row r="1001" ht="12.75" customHeight="1"/>
    <row r="1002" ht="12.75" customHeight="1"/>
  </sheetData>
  <pageMargins left="0.75" right="0.75" top="1" bottom="1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lTime">
                <anchor moveWithCells="1" sizeWithCells="1">
                  <from>
                    <xdr:col>4</xdr:col>
                    <xdr:colOff>201386</xdr:colOff>
                    <xdr:row>1</xdr:row>
                    <xdr:rowOff>114300</xdr:rowOff>
                  </from>
                  <to>
                    <xdr:col>6</xdr:col>
                    <xdr:colOff>65314</xdr:colOff>
                    <xdr:row>3</xdr:row>
                    <xdr:rowOff>141514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40330-7B4E-47C8-B0E2-5F836918A8F2}">
  <sheetPr codeName="Лист5"/>
  <dimension ref="A1"/>
  <sheetViews>
    <sheetView workbookViewId="0"/>
  </sheetViews>
  <sheetFormatPr defaultRowHeight="12.4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L1000"/>
  <sheetViews>
    <sheetView workbookViewId="0">
      <selection activeCell="E6" sqref="E6"/>
    </sheetView>
  </sheetViews>
  <sheetFormatPr defaultColWidth="14.4609375" defaultRowHeight="15" customHeight="1"/>
  <cols>
    <col min="1" max="1" width="8.69140625"/>
    <col min="2" max="2" width="14.765625" bestFit="1" customWidth="1"/>
    <col min="3" max="3" width="17" bestFit="1" customWidth="1"/>
    <col min="4" max="4" width="17.3046875" bestFit="1" customWidth="1"/>
    <col min="5" max="5" width="17.15234375" bestFit="1" customWidth="1"/>
    <col min="6" max="6" width="17" bestFit="1" customWidth="1"/>
    <col min="7" max="7" width="14.765625" bestFit="1" customWidth="1"/>
    <col min="8" max="8" width="16.4609375" bestFit="1" customWidth="1"/>
    <col min="9" max="9" width="15.69140625" bestFit="1" customWidth="1"/>
    <col min="10" max="10" width="16.921875" bestFit="1" customWidth="1"/>
    <col min="11" max="11" width="13.921875" customWidth="1"/>
    <col min="12" max="12" width="15.69140625" bestFit="1" customWidth="1"/>
    <col min="13" max="26" width="8.53515625" customWidth="1"/>
  </cols>
  <sheetData>
    <row r="1" spans="1:12" ht="12.45">
      <c r="A1" t="s">
        <v>31</v>
      </c>
      <c r="B1" s="7" t="str">
        <f>Results!A2</f>
        <v>BR-12.23 [FORTS]</v>
      </c>
      <c r="C1" s="7" t="str">
        <f>Results!A3</f>
        <v>GAZR-12.23 [FORTS]</v>
      </c>
      <c r="D1" s="7" t="str">
        <f>Results!A4</f>
        <v>GMKN-12.23 [FORTS]</v>
      </c>
      <c r="E1" s="7" t="str">
        <f>Results!A5</f>
        <v>GOLD-12.23 [FORTS]</v>
      </c>
      <c r="F1" s="7" t="str">
        <f>Results!A6</f>
        <v>LKOH-12.23 [FORTS]</v>
      </c>
      <c r="G1" s="7" t="str">
        <f>Results!A7</f>
        <v>NG-11.23 [FORTS]</v>
      </c>
      <c r="H1" s="7" t="str">
        <f>Results!A9</f>
        <v>PLZL-12.23 [FORTS]</v>
      </c>
      <c r="I1" s="7" t="str">
        <f>Results!A10</f>
        <v>RTS-12.23 [FORTS]</v>
      </c>
      <c r="J1" s="7" t="str">
        <f>Results!A11</f>
        <v>SBRF-12.23 [FORTS]</v>
      </c>
      <c r="K1" s="7" t="str">
        <f>Results!A12</f>
        <v>Si-12.23 [FORTS]</v>
      </c>
      <c r="L1" s="9" t="str">
        <f>Results!A13</f>
        <v>CNY-12.23 [FORTS]</v>
      </c>
    </row>
    <row r="2" spans="1:12" ht="12.45">
      <c r="A2" t="s">
        <v>77</v>
      </c>
      <c r="B2">
        <v>94.14</v>
      </c>
      <c r="C2">
        <v>17781</v>
      </c>
      <c r="D2">
        <v>16625</v>
      </c>
      <c r="E2">
        <v>1979.9</v>
      </c>
      <c r="F2">
        <v>65700</v>
      </c>
      <c r="G2">
        <v>3.3889999999999998</v>
      </c>
      <c r="H2">
        <v>121202</v>
      </c>
      <c r="I2">
        <v>104340</v>
      </c>
      <c r="J2">
        <v>26924</v>
      </c>
      <c r="K2">
        <v>94945</v>
      </c>
      <c r="L2">
        <v>13.5</v>
      </c>
    </row>
    <row r="3" spans="1:12" ht="12.45">
      <c r="A3" t="s">
        <v>78</v>
      </c>
      <c r="B3">
        <v>94.04</v>
      </c>
      <c r="C3">
        <v>17445</v>
      </c>
      <c r="D3">
        <v>16355</v>
      </c>
      <c r="E3">
        <v>1973.8</v>
      </c>
      <c r="F3">
        <v>64250</v>
      </c>
      <c r="G3">
        <v>3.4049999999999998</v>
      </c>
      <c r="H3">
        <v>117869</v>
      </c>
      <c r="I3">
        <v>101960</v>
      </c>
      <c r="J3">
        <v>26150</v>
      </c>
      <c r="K3">
        <v>95490</v>
      </c>
      <c r="L3">
        <v>13.528</v>
      </c>
    </row>
    <row r="4" spans="1:12" ht="12.45">
      <c r="A4" t="s">
        <v>79</v>
      </c>
      <c r="B4">
        <v>93.02</v>
      </c>
      <c r="C4">
        <v>17573</v>
      </c>
      <c r="D4">
        <v>16551</v>
      </c>
      <c r="E4">
        <v>1965.4</v>
      </c>
      <c r="F4">
        <v>65584</v>
      </c>
      <c r="G4">
        <v>3.3149999999999999</v>
      </c>
      <c r="H4">
        <v>118095</v>
      </c>
      <c r="I4">
        <v>103280</v>
      </c>
      <c r="J4">
        <v>26385</v>
      </c>
      <c r="K4">
        <v>94660</v>
      </c>
      <c r="L4">
        <v>13.442</v>
      </c>
    </row>
    <row r="5" spans="1:12" ht="12.45">
      <c r="A5" t="s">
        <v>80</v>
      </c>
      <c r="B5">
        <v>92.88</v>
      </c>
      <c r="C5">
        <v>17202</v>
      </c>
      <c r="D5">
        <v>16439</v>
      </c>
      <c r="E5">
        <v>1952.5</v>
      </c>
      <c r="F5">
        <v>65338</v>
      </c>
      <c r="G5">
        <v>3.25</v>
      </c>
      <c r="H5">
        <v>115777</v>
      </c>
      <c r="I5">
        <v>101410</v>
      </c>
      <c r="J5">
        <v>25898</v>
      </c>
      <c r="K5">
        <v>95274</v>
      </c>
      <c r="L5">
        <v>13.4</v>
      </c>
    </row>
    <row r="6" spans="1:12" ht="12.45">
      <c r="A6" t="s">
        <v>81</v>
      </c>
      <c r="B6">
        <v>92.86</v>
      </c>
      <c r="C6">
        <v>17260</v>
      </c>
      <c r="D6">
        <v>16300</v>
      </c>
      <c r="E6">
        <v>1952.6</v>
      </c>
      <c r="F6">
        <v>66632</v>
      </c>
      <c r="G6">
        <v>3.278</v>
      </c>
      <c r="H6">
        <v>114026</v>
      </c>
      <c r="I6">
        <v>101940</v>
      </c>
      <c r="J6">
        <v>26146</v>
      </c>
      <c r="K6">
        <v>95888</v>
      </c>
      <c r="L6">
        <v>13.513</v>
      </c>
    </row>
    <row r="7" spans="1:12" ht="12.45">
      <c r="A7" t="s">
        <v>82</v>
      </c>
      <c r="B7">
        <v>92.2</v>
      </c>
      <c r="C7">
        <v>17193</v>
      </c>
      <c r="D7">
        <v>16200</v>
      </c>
      <c r="E7">
        <v>1948.8</v>
      </c>
      <c r="F7">
        <v>66082</v>
      </c>
      <c r="G7">
        <v>3.3029999999999999</v>
      </c>
      <c r="H7">
        <v>113172</v>
      </c>
      <c r="I7">
        <v>101660</v>
      </c>
      <c r="J7">
        <v>26198</v>
      </c>
      <c r="K7">
        <v>95862</v>
      </c>
      <c r="L7">
        <v>13.465</v>
      </c>
    </row>
    <row r="8" spans="1:12" ht="12.45">
      <c r="A8" t="s">
        <v>83</v>
      </c>
      <c r="B8">
        <v>92.55</v>
      </c>
      <c r="C8">
        <v>17157</v>
      </c>
      <c r="D8">
        <v>16134</v>
      </c>
      <c r="E8">
        <v>1934.3</v>
      </c>
      <c r="F8">
        <v>65353</v>
      </c>
      <c r="G8">
        <v>3.2480000000000002</v>
      </c>
      <c r="H8">
        <v>112914</v>
      </c>
      <c r="I8">
        <v>101350</v>
      </c>
      <c r="J8">
        <v>26544</v>
      </c>
      <c r="K8">
        <v>96189</v>
      </c>
      <c r="L8">
        <v>13.486000000000001</v>
      </c>
    </row>
    <row r="9" spans="1:12" ht="12.45">
      <c r="A9" t="s">
        <v>84</v>
      </c>
      <c r="B9">
        <v>93.9</v>
      </c>
      <c r="C9">
        <v>17182</v>
      </c>
      <c r="D9">
        <v>16371</v>
      </c>
      <c r="E9">
        <v>1918.2</v>
      </c>
      <c r="F9">
        <v>66348</v>
      </c>
      <c r="G9">
        <v>3.2759999999999998</v>
      </c>
      <c r="H9">
        <v>114499</v>
      </c>
      <c r="I9">
        <v>101850</v>
      </c>
      <c r="J9">
        <v>26559</v>
      </c>
      <c r="K9">
        <v>96589</v>
      </c>
      <c r="L9">
        <v>13.563000000000001</v>
      </c>
    </row>
    <row r="10" spans="1:12" ht="12.45">
      <c r="A10" t="s">
        <v>85</v>
      </c>
      <c r="B10">
        <v>92.63</v>
      </c>
      <c r="C10">
        <v>17564</v>
      </c>
      <c r="D10">
        <v>16574</v>
      </c>
      <c r="E10">
        <v>1902.5</v>
      </c>
      <c r="F10">
        <v>67689</v>
      </c>
      <c r="G10">
        <v>3.319</v>
      </c>
      <c r="H10">
        <v>114685</v>
      </c>
      <c r="I10">
        <v>102500</v>
      </c>
      <c r="J10">
        <v>26711</v>
      </c>
      <c r="K10">
        <v>97031</v>
      </c>
      <c r="L10">
        <v>13.599</v>
      </c>
    </row>
    <row r="11" spans="1:12" ht="12.45">
      <c r="A11" t="s">
        <v>86</v>
      </c>
      <c r="B11">
        <v>91.65</v>
      </c>
      <c r="C11">
        <v>17286</v>
      </c>
      <c r="D11">
        <v>16470</v>
      </c>
      <c r="E11">
        <v>1883.4</v>
      </c>
      <c r="F11">
        <v>68349</v>
      </c>
      <c r="G11">
        <v>3.3109999999999999</v>
      </c>
      <c r="H11">
        <v>116371</v>
      </c>
      <c r="I11">
        <v>101970</v>
      </c>
      <c r="J11">
        <v>27044</v>
      </c>
      <c r="K11">
        <v>98460</v>
      </c>
      <c r="L11">
        <v>13.786</v>
      </c>
    </row>
    <row r="12" spans="1:12" ht="12.45">
      <c r="A12" s="44">
        <v>44967</v>
      </c>
      <c r="B12">
        <v>89.96</v>
      </c>
      <c r="C12">
        <v>17176</v>
      </c>
      <c r="D12">
        <v>16482</v>
      </c>
      <c r="E12">
        <v>1863.1</v>
      </c>
      <c r="F12">
        <v>68381</v>
      </c>
      <c r="G12">
        <v>3.2269999999999999</v>
      </c>
      <c r="H12">
        <v>114267</v>
      </c>
      <c r="I12">
        <v>100480</v>
      </c>
      <c r="J12">
        <v>26789</v>
      </c>
      <c r="K12">
        <v>99882</v>
      </c>
      <c r="L12">
        <v>13.907</v>
      </c>
    </row>
    <row r="13" spans="1:12" ht="12.45">
      <c r="A13" s="44">
        <v>44995</v>
      </c>
      <c r="B13">
        <v>90.36</v>
      </c>
      <c r="C13">
        <v>17265</v>
      </c>
      <c r="D13">
        <v>16523</v>
      </c>
      <c r="E13">
        <v>1859.3</v>
      </c>
      <c r="F13">
        <v>68746</v>
      </c>
      <c r="G13">
        <v>3.2879999999999998</v>
      </c>
      <c r="H13">
        <v>116287</v>
      </c>
      <c r="I13">
        <v>101090</v>
      </c>
      <c r="J13">
        <v>26928</v>
      </c>
      <c r="K13">
        <v>99430</v>
      </c>
      <c r="L13">
        <v>13.869</v>
      </c>
    </row>
    <row r="14" spans="1:12" ht="12.45">
      <c r="A14" s="44">
        <v>45026</v>
      </c>
      <c r="B14">
        <v>85.63</v>
      </c>
      <c r="C14">
        <v>17120</v>
      </c>
      <c r="D14">
        <v>16413</v>
      </c>
      <c r="E14">
        <v>1858.9</v>
      </c>
      <c r="F14">
        <v>67250</v>
      </c>
      <c r="G14">
        <v>3.3260000000000001</v>
      </c>
      <c r="H14">
        <v>116194</v>
      </c>
      <c r="I14">
        <v>100010</v>
      </c>
      <c r="J14">
        <v>26883</v>
      </c>
      <c r="K14">
        <v>99799</v>
      </c>
      <c r="L14">
        <v>13.898999999999999</v>
      </c>
    </row>
    <row r="15" spans="1:12" ht="12.45">
      <c r="A15" s="44">
        <v>45056</v>
      </c>
      <c r="B15">
        <v>83.96</v>
      </c>
      <c r="C15">
        <v>17151</v>
      </c>
      <c r="D15">
        <v>16550</v>
      </c>
      <c r="E15">
        <v>1853.9</v>
      </c>
      <c r="F15">
        <v>67871</v>
      </c>
      <c r="G15">
        <v>3.5139999999999998</v>
      </c>
      <c r="H15">
        <v>116249</v>
      </c>
      <c r="I15">
        <v>99320</v>
      </c>
      <c r="J15">
        <v>26841</v>
      </c>
      <c r="K15">
        <v>101189</v>
      </c>
      <c r="L15">
        <v>14.047000000000001</v>
      </c>
    </row>
    <row r="16" spans="1:12" ht="12.45">
      <c r="A16" s="44">
        <v>45087</v>
      </c>
      <c r="B16">
        <v>84.22</v>
      </c>
      <c r="C16">
        <v>17220</v>
      </c>
      <c r="D16">
        <v>16680</v>
      </c>
      <c r="E16">
        <v>1863.1</v>
      </c>
      <c r="F16">
        <v>68874</v>
      </c>
      <c r="G16">
        <v>3.613</v>
      </c>
      <c r="H16">
        <v>118197</v>
      </c>
      <c r="I16">
        <v>101100</v>
      </c>
      <c r="J16">
        <v>27199</v>
      </c>
      <c r="K16">
        <v>100449</v>
      </c>
      <c r="L16">
        <v>13.981</v>
      </c>
    </row>
    <row r="17" spans="1:12" ht="12.45">
      <c r="A17" s="44">
        <v>45179</v>
      </c>
      <c r="B17">
        <v>87.63</v>
      </c>
      <c r="C17">
        <v>17233</v>
      </c>
      <c r="D17">
        <v>16565</v>
      </c>
      <c r="E17">
        <v>1887.9</v>
      </c>
      <c r="F17">
        <v>68497</v>
      </c>
      <c r="G17">
        <v>3.633</v>
      </c>
      <c r="H17">
        <v>118800</v>
      </c>
      <c r="I17">
        <v>102590</v>
      </c>
      <c r="J17">
        <v>27460</v>
      </c>
      <c r="K17">
        <v>98781</v>
      </c>
      <c r="L17">
        <v>13.785</v>
      </c>
    </row>
    <row r="18" spans="1:12" ht="12.45">
      <c r="A18" s="44">
        <v>45209</v>
      </c>
      <c r="B18">
        <v>87.38</v>
      </c>
      <c r="C18">
        <v>17322</v>
      </c>
      <c r="D18">
        <v>16698</v>
      </c>
      <c r="E18">
        <v>1886</v>
      </c>
      <c r="F18">
        <v>68756</v>
      </c>
      <c r="G18">
        <v>3.6520000000000001</v>
      </c>
      <c r="H18">
        <v>118270</v>
      </c>
      <c r="I18">
        <v>101560</v>
      </c>
      <c r="J18">
        <v>27188</v>
      </c>
      <c r="K18">
        <v>100588</v>
      </c>
      <c r="L18">
        <v>14.03</v>
      </c>
    </row>
    <row r="19" spans="1:12" ht="12.45">
      <c r="A19" s="44">
        <v>45240</v>
      </c>
      <c r="B19">
        <v>85.62</v>
      </c>
      <c r="C19">
        <v>17299</v>
      </c>
      <c r="D19">
        <v>16525</v>
      </c>
      <c r="E19">
        <v>1895.7</v>
      </c>
      <c r="F19">
        <v>68470</v>
      </c>
      <c r="G19">
        <v>3.653</v>
      </c>
      <c r="H19">
        <v>117000</v>
      </c>
      <c r="I19">
        <v>103350</v>
      </c>
      <c r="J19">
        <v>26852</v>
      </c>
      <c r="K19">
        <v>97398</v>
      </c>
      <c r="L19">
        <v>13.55</v>
      </c>
    </row>
    <row r="20" spans="1:12" ht="12.45">
      <c r="A20" s="44">
        <v>45270</v>
      </c>
      <c r="B20">
        <v>86.06</v>
      </c>
      <c r="C20">
        <v>17449</v>
      </c>
      <c r="D20">
        <v>16472</v>
      </c>
      <c r="E20">
        <v>1881.2</v>
      </c>
      <c r="F20">
        <v>69528</v>
      </c>
      <c r="G20">
        <v>3.613</v>
      </c>
      <c r="H20">
        <v>117562</v>
      </c>
      <c r="I20">
        <v>103190</v>
      </c>
      <c r="J20">
        <v>27310</v>
      </c>
      <c r="K20">
        <v>98153</v>
      </c>
      <c r="L20">
        <v>13.565</v>
      </c>
    </row>
    <row r="21" spans="1:12" ht="12.45">
      <c r="A21" t="s">
        <v>87</v>
      </c>
      <c r="B21">
        <v>90.08</v>
      </c>
      <c r="C21">
        <v>17524</v>
      </c>
      <c r="D21">
        <v>16465</v>
      </c>
      <c r="E21">
        <v>1934.7</v>
      </c>
      <c r="F21">
        <v>70058</v>
      </c>
      <c r="G21">
        <v>3.5449999999999999</v>
      </c>
      <c r="H21">
        <v>119003</v>
      </c>
      <c r="I21">
        <v>104200</v>
      </c>
      <c r="J21">
        <v>27149</v>
      </c>
      <c r="K21">
        <v>97830</v>
      </c>
      <c r="L21">
        <v>13.555999999999999</v>
      </c>
    </row>
    <row r="22" spans="1:12" ht="12.45">
      <c r="A22" t="s">
        <v>88</v>
      </c>
      <c r="B22">
        <v>89.36</v>
      </c>
      <c r="C22">
        <v>17781</v>
      </c>
      <c r="D22">
        <v>16527</v>
      </c>
      <c r="E22">
        <v>1929.3</v>
      </c>
      <c r="F22">
        <v>70840</v>
      </c>
      <c r="G22">
        <v>3.4750000000000001</v>
      </c>
      <c r="H22">
        <v>119671</v>
      </c>
      <c r="I22">
        <v>105150</v>
      </c>
      <c r="J22">
        <v>27687</v>
      </c>
      <c r="K22">
        <v>97825</v>
      </c>
      <c r="L22">
        <v>13.538</v>
      </c>
    </row>
    <row r="23" spans="1:12" ht="12.45">
      <c r="A23" t="s">
        <v>89</v>
      </c>
      <c r="B23">
        <v>90.3</v>
      </c>
      <c r="C23">
        <v>17727</v>
      </c>
      <c r="D23">
        <v>16792</v>
      </c>
      <c r="E23">
        <v>1932.5</v>
      </c>
      <c r="F23">
        <v>71797</v>
      </c>
      <c r="G23">
        <v>3.452</v>
      </c>
      <c r="H23">
        <v>121354</v>
      </c>
      <c r="I23">
        <v>105030</v>
      </c>
      <c r="J23">
        <v>27835</v>
      </c>
      <c r="K23">
        <v>98736</v>
      </c>
      <c r="L23">
        <v>13.603</v>
      </c>
    </row>
    <row r="24" spans="1:12" ht="12.45">
      <c r="A24" t="s">
        <v>90</v>
      </c>
      <c r="B24">
        <v>90.85</v>
      </c>
      <c r="C24">
        <v>17510</v>
      </c>
      <c r="D24">
        <v>16716</v>
      </c>
      <c r="E24">
        <v>1951.7</v>
      </c>
      <c r="F24">
        <v>71986</v>
      </c>
      <c r="G24">
        <v>3.468</v>
      </c>
      <c r="H24">
        <v>121749</v>
      </c>
      <c r="I24">
        <v>104910</v>
      </c>
      <c r="J24">
        <v>27569</v>
      </c>
      <c r="K24">
        <v>98468</v>
      </c>
      <c r="L24">
        <v>13.535</v>
      </c>
    </row>
    <row r="25" spans="1:12" ht="12.45">
      <c r="A25" t="s">
        <v>91</v>
      </c>
      <c r="B25">
        <v>92.54</v>
      </c>
      <c r="C25">
        <v>17535</v>
      </c>
      <c r="D25">
        <v>16990</v>
      </c>
      <c r="E25">
        <v>1974.7</v>
      </c>
      <c r="F25">
        <v>71598</v>
      </c>
      <c r="G25">
        <v>3.3439999999999999</v>
      </c>
      <c r="H25">
        <v>121300</v>
      </c>
      <c r="I25">
        <v>105860</v>
      </c>
      <c r="J25">
        <v>27650</v>
      </c>
      <c r="K25">
        <v>97709</v>
      </c>
      <c r="L25">
        <v>13.435</v>
      </c>
    </row>
    <row r="26" spans="1:12" ht="12.45">
      <c r="A26" t="s">
        <v>92</v>
      </c>
      <c r="B26">
        <v>91.96</v>
      </c>
      <c r="C26">
        <v>17622</v>
      </c>
      <c r="D26">
        <v>17191</v>
      </c>
      <c r="E26">
        <v>1983.7</v>
      </c>
      <c r="F26">
        <v>71611</v>
      </c>
      <c r="G26">
        <v>3.2949999999999999</v>
      </c>
      <c r="H26">
        <v>120892</v>
      </c>
      <c r="I26">
        <v>107400</v>
      </c>
      <c r="J26">
        <v>27784</v>
      </c>
      <c r="K26">
        <v>96459</v>
      </c>
      <c r="L26">
        <v>13.242000000000001</v>
      </c>
    </row>
    <row r="27" spans="1:12" ht="12.45">
      <c r="A27" t="s">
        <v>93</v>
      </c>
      <c r="B27">
        <v>90.59</v>
      </c>
      <c r="C27">
        <v>17497</v>
      </c>
      <c r="D27">
        <v>17107</v>
      </c>
      <c r="E27">
        <v>1983.3</v>
      </c>
      <c r="F27">
        <v>71228</v>
      </c>
      <c r="G27">
        <v>3.2959999999999998</v>
      </c>
      <c r="H27">
        <v>120300</v>
      </c>
      <c r="I27">
        <v>108240</v>
      </c>
      <c r="J27">
        <v>27741</v>
      </c>
      <c r="K27">
        <v>95354</v>
      </c>
      <c r="L27">
        <v>13.125999999999999</v>
      </c>
    </row>
    <row r="28" spans="1:12" ht="12.45">
      <c r="A28" t="s">
        <v>94</v>
      </c>
      <c r="B28">
        <v>88.3</v>
      </c>
      <c r="C28">
        <v>17481</v>
      </c>
      <c r="D28">
        <v>17185</v>
      </c>
      <c r="E28">
        <v>1981.7</v>
      </c>
      <c r="F28">
        <v>71150</v>
      </c>
      <c r="G28">
        <v>3.347</v>
      </c>
      <c r="H28">
        <v>119750</v>
      </c>
      <c r="I28">
        <v>109560</v>
      </c>
      <c r="J28">
        <v>27871</v>
      </c>
      <c r="K28">
        <v>94259</v>
      </c>
      <c r="L28">
        <v>12.957000000000001</v>
      </c>
    </row>
    <row r="29" spans="1:12" ht="12.45">
      <c r="A29" t="s">
        <v>95</v>
      </c>
      <c r="B29">
        <v>89.76</v>
      </c>
      <c r="C29">
        <v>17408</v>
      </c>
      <c r="D29">
        <v>17400</v>
      </c>
      <c r="E29">
        <v>1992.3</v>
      </c>
      <c r="F29">
        <v>70661</v>
      </c>
      <c r="G29">
        <v>3.4079999999999999</v>
      </c>
      <c r="H29">
        <v>120246</v>
      </c>
      <c r="I29">
        <v>109340</v>
      </c>
      <c r="J29">
        <v>28121</v>
      </c>
      <c r="K29">
        <v>94449</v>
      </c>
      <c r="L29">
        <v>12.955</v>
      </c>
    </row>
    <row r="30" spans="1:12" ht="12.45">
      <c r="A30" t="s">
        <v>96</v>
      </c>
      <c r="B30">
        <v>88.4</v>
      </c>
      <c r="C30">
        <v>17269</v>
      </c>
      <c r="D30">
        <v>17265</v>
      </c>
      <c r="E30">
        <v>1996.7</v>
      </c>
      <c r="F30">
        <v>69287</v>
      </c>
      <c r="G30">
        <v>3.5150000000000001</v>
      </c>
      <c r="H30">
        <v>118389</v>
      </c>
      <c r="I30">
        <v>107060</v>
      </c>
      <c r="J30">
        <v>27669</v>
      </c>
      <c r="K30">
        <v>95161</v>
      </c>
      <c r="L30">
        <v>13.063000000000001</v>
      </c>
    </row>
    <row r="31" spans="1:12" ht="12.45">
      <c r="A31" t="s">
        <v>97</v>
      </c>
      <c r="B31">
        <v>89.7</v>
      </c>
      <c r="C31">
        <v>17182</v>
      </c>
      <c r="D31">
        <v>17484</v>
      </c>
      <c r="E31">
        <v>2017</v>
      </c>
      <c r="F31">
        <v>70097</v>
      </c>
      <c r="G31">
        <v>3.468</v>
      </c>
      <c r="H31">
        <v>119723</v>
      </c>
      <c r="I31">
        <v>106960</v>
      </c>
      <c r="J31">
        <v>27653</v>
      </c>
      <c r="K31">
        <v>95787</v>
      </c>
      <c r="L31">
        <v>13.083</v>
      </c>
    </row>
    <row r="32" spans="1:12" ht="12.45">
      <c r="A32" t="s">
        <v>98</v>
      </c>
      <c r="B32">
        <v>87.73</v>
      </c>
      <c r="C32">
        <v>17133</v>
      </c>
      <c r="D32">
        <v>17535</v>
      </c>
      <c r="E32">
        <v>2006.1</v>
      </c>
      <c r="F32">
        <v>69141</v>
      </c>
      <c r="G32">
        <v>3.36</v>
      </c>
      <c r="H32">
        <v>118898</v>
      </c>
      <c r="I32">
        <v>107910</v>
      </c>
      <c r="J32">
        <v>27624</v>
      </c>
      <c r="K32">
        <v>94166</v>
      </c>
      <c r="L32">
        <v>12.885999999999999</v>
      </c>
    </row>
    <row r="33" spans="1:12" ht="12.45">
      <c r="A33" t="s">
        <v>99</v>
      </c>
      <c r="B33">
        <v>86.26</v>
      </c>
      <c r="C33">
        <v>17199</v>
      </c>
      <c r="D33">
        <v>17680</v>
      </c>
      <c r="E33">
        <v>1992.7</v>
      </c>
      <c r="F33">
        <v>68388</v>
      </c>
      <c r="G33">
        <v>3.5939999999999999</v>
      </c>
      <c r="H33">
        <v>115669</v>
      </c>
      <c r="I33">
        <v>106180</v>
      </c>
      <c r="J33">
        <v>27472</v>
      </c>
      <c r="K33">
        <v>95198</v>
      </c>
      <c r="L33">
        <v>12.968</v>
      </c>
    </row>
    <row r="34" spans="1:12" ht="12.45">
      <c r="A34" s="44">
        <v>44937</v>
      </c>
      <c r="B34">
        <v>85.74</v>
      </c>
      <c r="C34">
        <v>17412</v>
      </c>
      <c r="D34">
        <v>17897</v>
      </c>
      <c r="E34">
        <v>1985.7</v>
      </c>
      <c r="F34">
        <v>69153</v>
      </c>
      <c r="G34">
        <v>3.508</v>
      </c>
      <c r="H34">
        <v>117000</v>
      </c>
      <c r="I34">
        <v>107560</v>
      </c>
      <c r="J34">
        <v>27629</v>
      </c>
      <c r="K34">
        <v>94299</v>
      </c>
      <c r="L34">
        <v>12.882999999999999</v>
      </c>
    </row>
    <row r="35" spans="1:12" ht="12.45">
      <c r="A35" s="44">
        <v>44968</v>
      </c>
      <c r="B35">
        <v>87.47</v>
      </c>
      <c r="C35">
        <v>17197</v>
      </c>
      <c r="D35">
        <v>18079</v>
      </c>
      <c r="E35">
        <v>1995.4</v>
      </c>
      <c r="F35">
        <v>69079</v>
      </c>
      <c r="G35">
        <v>3.5169999999999999</v>
      </c>
      <c r="H35">
        <v>116407</v>
      </c>
      <c r="I35">
        <v>106750</v>
      </c>
      <c r="J35">
        <v>27518</v>
      </c>
      <c r="K35">
        <v>94626</v>
      </c>
      <c r="L35">
        <v>12.95</v>
      </c>
    </row>
    <row r="36" spans="1:12" ht="12.45">
      <c r="A36" s="44">
        <v>44996</v>
      </c>
      <c r="B36">
        <v>85.94</v>
      </c>
      <c r="C36">
        <v>17282</v>
      </c>
      <c r="D36">
        <v>18212</v>
      </c>
      <c r="E36">
        <v>1996.1</v>
      </c>
      <c r="F36">
        <v>68875</v>
      </c>
      <c r="G36">
        <v>3.5</v>
      </c>
      <c r="H36">
        <v>116253</v>
      </c>
      <c r="I36">
        <v>108170</v>
      </c>
      <c r="J36">
        <v>27426</v>
      </c>
      <c r="K36">
        <v>93635</v>
      </c>
      <c r="L36">
        <v>12.862</v>
      </c>
    </row>
    <row r="37" spans="1:12" ht="12.45">
      <c r="A37" s="44">
        <v>45088</v>
      </c>
      <c r="B37">
        <v>86.09</v>
      </c>
      <c r="C37">
        <v>17322</v>
      </c>
      <c r="D37">
        <v>18064</v>
      </c>
      <c r="E37">
        <v>1980.5</v>
      </c>
      <c r="F37">
        <v>70269</v>
      </c>
      <c r="G37">
        <v>3.3279999999999998</v>
      </c>
      <c r="H37">
        <v>115916</v>
      </c>
      <c r="I37">
        <v>109280</v>
      </c>
      <c r="J37">
        <v>27940</v>
      </c>
      <c r="K37">
        <v>93502</v>
      </c>
      <c r="L37">
        <v>12.86</v>
      </c>
    </row>
    <row r="38" spans="1:12" ht="12.45">
      <c r="A38" s="44">
        <v>45118</v>
      </c>
      <c r="B38">
        <v>83.6</v>
      </c>
      <c r="C38">
        <v>17203</v>
      </c>
      <c r="D38">
        <v>17998</v>
      </c>
      <c r="E38">
        <v>1975.3</v>
      </c>
      <c r="F38">
        <v>69755</v>
      </c>
      <c r="G38">
        <v>3.2610000000000001</v>
      </c>
      <c r="H38">
        <v>115717</v>
      </c>
      <c r="I38">
        <v>108890</v>
      </c>
      <c r="J38">
        <v>27906</v>
      </c>
      <c r="K38">
        <v>93929</v>
      </c>
      <c r="L38">
        <v>12.903</v>
      </c>
    </row>
    <row r="39" spans="1:12" ht="12.45">
      <c r="A39" s="44">
        <v>45149</v>
      </c>
      <c r="B39">
        <v>81.86</v>
      </c>
      <c r="C39">
        <v>17199</v>
      </c>
      <c r="D39">
        <v>17757</v>
      </c>
      <c r="E39">
        <v>1955.3</v>
      </c>
      <c r="F39">
        <v>69467</v>
      </c>
      <c r="G39">
        <v>3.242</v>
      </c>
      <c r="H39">
        <v>115225</v>
      </c>
      <c r="I39">
        <v>109960</v>
      </c>
      <c r="J39">
        <v>28380</v>
      </c>
      <c r="K39">
        <v>93160</v>
      </c>
      <c r="L39">
        <v>12.819000000000001</v>
      </c>
    </row>
    <row r="40" spans="1:12" ht="12.45">
      <c r="A40" s="44">
        <v>45180</v>
      </c>
      <c r="B40">
        <v>81.760000000000005</v>
      </c>
      <c r="C40">
        <v>17166</v>
      </c>
      <c r="D40">
        <v>17707</v>
      </c>
      <c r="E40">
        <v>1965.5</v>
      </c>
      <c r="F40">
        <v>69217</v>
      </c>
      <c r="G40">
        <v>3.1659999999999999</v>
      </c>
      <c r="H40">
        <v>114909</v>
      </c>
      <c r="I40">
        <v>109630</v>
      </c>
      <c r="J40">
        <v>28230</v>
      </c>
      <c r="K40">
        <v>93321</v>
      </c>
      <c r="L40">
        <v>12.791</v>
      </c>
    </row>
    <row r="41" spans="1:12" ht="12.45">
      <c r="A41" s="44">
        <v>45210</v>
      </c>
      <c r="B41">
        <v>82.71</v>
      </c>
      <c r="C41">
        <v>17158</v>
      </c>
      <c r="D41">
        <v>17672</v>
      </c>
      <c r="E41">
        <v>1945</v>
      </c>
      <c r="F41">
        <v>69500</v>
      </c>
      <c r="G41">
        <v>3.13</v>
      </c>
      <c r="H41">
        <v>113815</v>
      </c>
      <c r="I41">
        <v>109330</v>
      </c>
      <c r="J41">
        <v>28556</v>
      </c>
      <c r="K41">
        <v>93680</v>
      </c>
      <c r="L41">
        <v>12.819000000000001</v>
      </c>
    </row>
    <row r="42" spans="1:12" ht="12.45">
      <c r="A42" t="s">
        <v>100</v>
      </c>
      <c r="B42">
        <v>83.45</v>
      </c>
      <c r="C42">
        <v>17100</v>
      </c>
      <c r="D42">
        <v>17747</v>
      </c>
      <c r="E42">
        <v>1954.2</v>
      </c>
      <c r="F42">
        <v>69304</v>
      </c>
      <c r="G42">
        <v>3.2709999999999999</v>
      </c>
      <c r="H42">
        <v>114838</v>
      </c>
      <c r="I42">
        <v>110570</v>
      </c>
      <c r="J42">
        <v>28913</v>
      </c>
      <c r="K42">
        <v>92580</v>
      </c>
      <c r="L42">
        <v>12.689</v>
      </c>
    </row>
    <row r="43" spans="1:12" ht="12.45">
      <c r="A43" t="s">
        <v>101</v>
      </c>
      <c r="B43">
        <v>83.3</v>
      </c>
      <c r="C43">
        <v>16871</v>
      </c>
      <c r="D43">
        <v>17480</v>
      </c>
      <c r="E43">
        <v>1970.8</v>
      </c>
      <c r="F43">
        <v>68361</v>
      </c>
      <c r="G43">
        <v>3.16</v>
      </c>
      <c r="H43">
        <v>115000</v>
      </c>
      <c r="I43">
        <v>110150</v>
      </c>
      <c r="J43">
        <v>28579</v>
      </c>
      <c r="K43">
        <v>91652</v>
      </c>
      <c r="L43">
        <v>12.617000000000001</v>
      </c>
    </row>
    <row r="44" spans="1:12" ht="12.45">
      <c r="A44" t="s">
        <v>102</v>
      </c>
      <c r="B44">
        <v>81.91</v>
      </c>
      <c r="C44">
        <v>16937</v>
      </c>
      <c r="D44">
        <v>17462</v>
      </c>
      <c r="E44">
        <v>1965</v>
      </c>
      <c r="F44">
        <v>68863</v>
      </c>
      <c r="G44">
        <v>3.1960000000000002</v>
      </c>
      <c r="H44">
        <v>114523</v>
      </c>
      <c r="I44">
        <v>112350</v>
      </c>
      <c r="J44">
        <v>28792</v>
      </c>
      <c r="K44">
        <v>90295</v>
      </c>
      <c r="L44">
        <v>12.438000000000001</v>
      </c>
    </row>
    <row r="45" spans="1:12" ht="12.45">
      <c r="A45" t="s">
        <v>103</v>
      </c>
      <c r="B45">
        <v>78.86</v>
      </c>
      <c r="C45">
        <v>16842</v>
      </c>
      <c r="D45">
        <v>17368</v>
      </c>
      <c r="E45">
        <v>1979.4</v>
      </c>
      <c r="F45">
        <v>67650</v>
      </c>
      <c r="G45">
        <v>3.1269999999999998</v>
      </c>
      <c r="H45">
        <v>114250</v>
      </c>
      <c r="I45">
        <v>111090</v>
      </c>
      <c r="J45">
        <v>28434</v>
      </c>
      <c r="K45">
        <v>90317</v>
      </c>
      <c r="L45">
        <v>12.473000000000001</v>
      </c>
    </row>
    <row r="46" spans="1:12" ht="12.75" customHeight="1">
      <c r="A46" t="s">
        <v>104</v>
      </c>
      <c r="B46">
        <v>81.19</v>
      </c>
      <c r="C46">
        <v>16777</v>
      </c>
      <c r="D46">
        <v>17460</v>
      </c>
      <c r="E46">
        <v>1976.3</v>
      </c>
      <c r="F46">
        <v>68615</v>
      </c>
      <c r="G46">
        <v>3.0459999999999998</v>
      </c>
      <c r="H46">
        <v>114115</v>
      </c>
      <c r="I46">
        <v>111320</v>
      </c>
      <c r="J46">
        <v>28618</v>
      </c>
      <c r="K46">
        <v>90801</v>
      </c>
      <c r="L46">
        <v>12.581</v>
      </c>
    </row>
    <row r="47" spans="1:12" ht="12.75" customHeight="1">
      <c r="A47" t="s">
        <v>105</v>
      </c>
      <c r="B47">
        <v>82.75</v>
      </c>
      <c r="C47">
        <v>16833</v>
      </c>
      <c r="D47">
        <v>17373</v>
      </c>
      <c r="E47">
        <v>1975.9</v>
      </c>
      <c r="F47">
        <v>68080</v>
      </c>
      <c r="G47">
        <v>2.9260000000000002</v>
      </c>
      <c r="H47">
        <v>113764</v>
      </c>
      <c r="I47">
        <v>113700</v>
      </c>
      <c r="J47">
        <v>28736</v>
      </c>
      <c r="K47">
        <v>88660</v>
      </c>
      <c r="L47">
        <v>12.414999999999999</v>
      </c>
    </row>
    <row r="48" spans="1:12" ht="12.75" customHeight="1">
      <c r="A48" t="s">
        <v>106</v>
      </c>
      <c r="B48">
        <v>82.14</v>
      </c>
      <c r="C48">
        <v>16739</v>
      </c>
      <c r="D48">
        <v>17460</v>
      </c>
      <c r="E48">
        <v>1984.7</v>
      </c>
      <c r="F48">
        <v>67817</v>
      </c>
      <c r="G48">
        <v>2.9390000000000001</v>
      </c>
      <c r="H48">
        <v>114534</v>
      </c>
      <c r="I48">
        <v>113750</v>
      </c>
      <c r="J48">
        <v>28712</v>
      </c>
      <c r="K48">
        <v>88437</v>
      </c>
      <c r="L48">
        <v>12.43</v>
      </c>
    </row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X1000"/>
  <sheetViews>
    <sheetView topLeftCell="K1" workbookViewId="0">
      <selection activeCell="N8" sqref="N8"/>
    </sheetView>
  </sheetViews>
  <sheetFormatPr defaultColWidth="14.4609375" defaultRowHeight="15" customHeight="1"/>
  <cols>
    <col min="1" max="1" width="10.4609375" customWidth="1"/>
    <col min="2" max="2" width="15.84375" bestFit="1" customWidth="1"/>
    <col min="3" max="3" width="18.3828125" bestFit="1" customWidth="1"/>
    <col min="4" max="4" width="18.765625" bestFit="1" customWidth="1"/>
    <col min="5" max="5" width="18.53515625" bestFit="1" customWidth="1"/>
    <col min="6" max="6" width="18.3046875" bestFit="1" customWidth="1"/>
    <col min="7" max="7" width="12.4609375" bestFit="1" customWidth="1"/>
    <col min="8" max="8" width="17.69140625" bestFit="1" customWidth="1"/>
    <col min="9" max="9" width="17" bestFit="1" customWidth="1"/>
    <col min="10" max="10" width="18.15234375" bestFit="1" customWidth="1"/>
    <col min="11" max="11" width="14.921875" bestFit="1" customWidth="1"/>
    <col min="12" max="38" width="8.53515625" customWidth="1"/>
  </cols>
  <sheetData>
    <row r="1" spans="1:24" ht="12.75" customHeight="1">
      <c r="A1" s="28" t="str">
        <f>Close!A1</f>
        <v>&lt;DATE&gt;</v>
      </c>
      <c r="B1" t="str">
        <f>Close!B1</f>
        <v>BR-12.23 [FORTS]</v>
      </c>
      <c r="C1" t="str">
        <f>Close!C1</f>
        <v>GAZR-12.23 [FORTS]</v>
      </c>
      <c r="D1" t="str">
        <f>Close!D1</f>
        <v>GMKN-12.23 [FORTS]</v>
      </c>
      <c r="E1" t="str">
        <f>Close!E1</f>
        <v>GOLD-12.23 [FORTS]</v>
      </c>
      <c r="F1" t="str">
        <f>Close!F1</f>
        <v>LKOH-12.23 [FORTS]</v>
      </c>
      <c r="G1" t="str">
        <f>Close!G1</f>
        <v>NG-11.23 [FORTS]</v>
      </c>
      <c r="H1" t="str">
        <f>Close!H1</f>
        <v>PLZL-12.23 [FORTS]</v>
      </c>
      <c r="I1" t="str">
        <f>Close!I1</f>
        <v>RTS-12.23 [FORTS]</v>
      </c>
      <c r="J1" t="str">
        <f>Close!J1</f>
        <v>SBRF-12.23 [FORTS]</v>
      </c>
      <c r="K1" t="str">
        <f>Close!K1</f>
        <v>Si-12.23 [FORTS]</v>
      </c>
      <c r="L1" t="str">
        <f>Close!L1</f>
        <v>CNY-12.23 [FORTS]</v>
      </c>
      <c r="N1" s="3" t="s">
        <v>12</v>
      </c>
    </row>
    <row r="2" spans="1:24" ht="12.75" customHeight="1">
      <c r="A2" s="29" t="str">
        <f>Close!A2</f>
        <v>18/09/23</v>
      </c>
      <c r="N2" s="30" t="str">
        <f t="shared" ref="N2:X2" si="0">B1</f>
        <v>BR-12.23 [FORTS]</v>
      </c>
      <c r="O2" s="30" t="str">
        <f t="shared" si="0"/>
        <v>GAZR-12.23 [FORTS]</v>
      </c>
      <c r="P2" s="30" t="str">
        <f t="shared" si="0"/>
        <v>GMKN-12.23 [FORTS]</v>
      </c>
      <c r="Q2" s="30" t="str">
        <f t="shared" si="0"/>
        <v>GOLD-12.23 [FORTS]</v>
      </c>
      <c r="R2" s="30" t="str">
        <f t="shared" si="0"/>
        <v>LKOH-12.23 [FORTS]</v>
      </c>
      <c r="S2" s="30" t="str">
        <f t="shared" si="0"/>
        <v>NG-11.23 [FORTS]</v>
      </c>
      <c r="T2" s="30" t="str">
        <f t="shared" si="0"/>
        <v>PLZL-12.23 [FORTS]</v>
      </c>
      <c r="U2" s="30" t="str">
        <f t="shared" si="0"/>
        <v>RTS-12.23 [FORTS]</v>
      </c>
      <c r="V2" s="30" t="str">
        <f t="shared" si="0"/>
        <v>SBRF-12.23 [FORTS]</v>
      </c>
      <c r="W2" s="30" t="str">
        <f t="shared" si="0"/>
        <v>Si-12.23 [FORTS]</v>
      </c>
      <c r="X2" s="30" t="str">
        <f t="shared" si="0"/>
        <v>CNY-12.23 [FORTS]</v>
      </c>
    </row>
    <row r="3" spans="1:24" ht="12.75" customHeight="1">
      <c r="A3" s="29" t="str">
        <f>Close!A3</f>
        <v>19/09/23</v>
      </c>
      <c r="B3">
        <f>Close!B3/Close!B2-1</f>
        <v>-1.0622477161673638E-3</v>
      </c>
      <c r="C3">
        <f>Close!C3/Close!C2-1</f>
        <v>-1.8896574995782012E-2</v>
      </c>
      <c r="D3">
        <f>Close!D3/Close!D2-1</f>
        <v>-1.6240601503759389E-2</v>
      </c>
      <c r="E3">
        <f>Close!E3/Close!E2-1</f>
        <v>-3.0809636850346322E-3</v>
      </c>
      <c r="F3">
        <f>Close!F3/Close!F2-1</f>
        <v>-2.2070015220700179E-2</v>
      </c>
      <c r="G3">
        <f>Close!G3/Close!G2-1</f>
        <v>4.7211566833873508E-3</v>
      </c>
      <c r="H3">
        <f>Close!H3/Close!H2-1</f>
        <v>-2.7499546212108705E-2</v>
      </c>
      <c r="I3">
        <f>Close!I3/Close!I2-1</f>
        <v>-2.281004408663978E-2</v>
      </c>
      <c r="J3">
        <f>Close!J3/Close!J2-1</f>
        <v>-2.8747585797058384E-2</v>
      </c>
      <c r="K3">
        <f>Close!K3/Close!K2-1</f>
        <v>5.740165358891991E-3</v>
      </c>
      <c r="L3">
        <f>Close!L3/Close!L2-1</f>
        <v>2.074074074074117E-3</v>
      </c>
      <c r="M3" s="30" t="str">
        <f t="array" ref="M3:M12">TRANSPOSE(N2:W2)</f>
        <v>BR-12.23 [FORTS]</v>
      </c>
      <c r="N3" s="31">
        <f t="array" ref="N3:X13">myCorrelationMatrix(B3:L48)</f>
        <v>0.99999999999999989</v>
      </c>
      <c r="O3" s="31">
        <v>5.0730116338285905E-2</v>
      </c>
      <c r="P3" s="31">
        <v>0.20331480767518267</v>
      </c>
      <c r="Q3" s="31">
        <v>0.44323696721751188</v>
      </c>
      <c r="R3" s="31">
        <v>0.31687523452639743</v>
      </c>
      <c r="S3" s="31">
        <v>-0.1624000406652378</v>
      </c>
      <c r="T3" s="31">
        <v>0.3116945496052308</v>
      </c>
      <c r="U3" s="31">
        <v>0.20639521823516702</v>
      </c>
      <c r="V3" s="31">
        <v>0.18169161156537189</v>
      </c>
      <c r="W3" s="31">
        <v>-3.1492670872661499E-2</v>
      </c>
      <c r="X3" s="31">
        <v>3.1326879480996876E-2</v>
      </c>
    </row>
    <row r="4" spans="1:24" ht="12.75" customHeight="1">
      <c r="A4" s="29" t="str">
        <f>Close!A4</f>
        <v>20/09/23</v>
      </c>
      <c r="B4">
        <f>Close!B4/Close!B3-1</f>
        <v>-1.0846448319864033E-2</v>
      </c>
      <c r="C4">
        <f>Close!C4/Close!C3-1</f>
        <v>7.3373459443966116E-3</v>
      </c>
      <c r="D4">
        <f>Close!D4/Close!D3-1</f>
        <v>1.1984102720880463E-2</v>
      </c>
      <c r="E4">
        <f>Close!E4/Close!E3-1</f>
        <v>-4.2557503293139121E-3</v>
      </c>
      <c r="F4">
        <f>Close!F4/Close!F3-1</f>
        <v>2.0762645914396805E-2</v>
      </c>
      <c r="G4">
        <f>Close!G4/Close!G3-1</f>
        <v>-2.6431718061673992E-2</v>
      </c>
      <c r="H4">
        <f>Close!H4/Close!H3-1</f>
        <v>1.9173828572398577E-3</v>
      </c>
      <c r="I4">
        <f>Close!I4/Close!I3-1</f>
        <v>1.2946253432718713E-2</v>
      </c>
      <c r="J4">
        <f>Close!J4/Close!J3-1</f>
        <v>8.986615678776344E-3</v>
      </c>
      <c r="K4">
        <f>Close!K4/Close!K3-1</f>
        <v>-8.692009634516662E-3</v>
      </c>
      <c r="L4">
        <f>Close!L4/Close!L3-1</f>
        <v>-6.3571850975754352E-3</v>
      </c>
      <c r="M4" s="30" t="str">
        <v>GAZR-12.23 [FORTS]</v>
      </c>
      <c r="N4" s="31">
        <v>5.0730116338285905E-2</v>
      </c>
      <c r="O4" s="31">
        <v>0.99999999999999978</v>
      </c>
      <c r="P4" s="31">
        <v>0.45831072646798499</v>
      </c>
      <c r="Q4" s="31">
        <v>-8.709236878606412E-2</v>
      </c>
      <c r="R4" s="31">
        <v>0.53937514839710343</v>
      </c>
      <c r="S4" s="31">
        <v>3.7663083071376995E-2</v>
      </c>
      <c r="T4" s="31">
        <v>0.29452255162359925</v>
      </c>
      <c r="U4" s="31">
        <v>0.57163815132980089</v>
      </c>
      <c r="V4" s="31">
        <v>0.54208362656497322</v>
      </c>
      <c r="W4" s="31">
        <v>-0.17528323529832918</v>
      </c>
      <c r="X4" s="31">
        <v>-0.12181537329283731</v>
      </c>
    </row>
    <row r="5" spans="1:24" ht="12.75" customHeight="1">
      <c r="A5" s="29" t="str">
        <f>Close!A5</f>
        <v>21/09/23</v>
      </c>
      <c r="B5">
        <f>Close!B5/Close!B4-1</f>
        <v>-1.5050526768436434E-3</v>
      </c>
      <c r="C5">
        <f>Close!C5/Close!C4-1</f>
        <v>-2.1111933079155487E-2</v>
      </c>
      <c r="D5">
        <f>Close!D5/Close!D4-1</f>
        <v>-6.7669627212857408E-3</v>
      </c>
      <c r="E5">
        <f>Close!E5/Close!E4-1</f>
        <v>-6.5635494047013854E-3</v>
      </c>
      <c r="F5">
        <f>Close!F5/Close!F4-1</f>
        <v>-3.7509148572822948E-3</v>
      </c>
      <c r="G5">
        <f>Close!G5/Close!G4-1</f>
        <v>-1.9607843137254832E-2</v>
      </c>
      <c r="H5">
        <f>Close!H5/Close!H4-1</f>
        <v>-1.96282653795673E-2</v>
      </c>
      <c r="I5">
        <f>Close!I5/Close!I4-1</f>
        <v>-1.8106119287374156E-2</v>
      </c>
      <c r="J5">
        <f>Close!J5/Close!J4-1</f>
        <v>-1.8457456888383517E-2</v>
      </c>
      <c r="K5">
        <f>Close!K5/Close!K4-1</f>
        <v>6.4863722797379175E-3</v>
      </c>
      <c r="L5">
        <f>Close!L5/Close!L4-1</f>
        <v>-3.1245350394286664E-3</v>
      </c>
      <c r="M5" s="30" t="str">
        <v>GMKN-12.23 [FORTS]</v>
      </c>
      <c r="N5" s="31">
        <v>0.20331480767518267</v>
      </c>
      <c r="O5" s="31">
        <v>0.45831072646798499</v>
      </c>
      <c r="P5" s="31">
        <v>1</v>
      </c>
      <c r="Q5" s="31">
        <v>6.7508315022743293E-2</v>
      </c>
      <c r="R5" s="31">
        <v>0.43625229178097591</v>
      </c>
      <c r="S5" s="31">
        <v>0.15099969139796016</v>
      </c>
      <c r="T5" s="31">
        <v>0.39596865547625071</v>
      </c>
      <c r="U5" s="31">
        <v>0.2126587128733981</v>
      </c>
      <c r="V5" s="31">
        <v>0.23053991763993417</v>
      </c>
      <c r="W5" s="31">
        <v>0.1330279527601784</v>
      </c>
      <c r="X5" s="31">
        <v>0.14073963563141451</v>
      </c>
    </row>
    <row r="6" spans="1:24" ht="12.75" customHeight="1">
      <c r="A6" s="29" t="str">
        <f>Close!A6</f>
        <v>22/09/23</v>
      </c>
      <c r="B6">
        <f>Close!B6/Close!B5-1</f>
        <v>-2.1533161068043594E-4</v>
      </c>
      <c r="C6">
        <f>Close!C6/Close!C5-1</f>
        <v>3.3717009650040541E-3</v>
      </c>
      <c r="D6">
        <f>Close!D6/Close!D5-1</f>
        <v>-8.4555021594987512E-3</v>
      </c>
      <c r="E6">
        <f>Close!E6/Close!E5-1</f>
        <v>5.1216389244546079E-5</v>
      </c>
      <c r="F6">
        <f>Close!F6/Close!F5-1</f>
        <v>1.9804707826991841E-2</v>
      </c>
      <c r="G6">
        <f>Close!G6/Close!G5-1</f>
        <v>8.6153846153846914E-3</v>
      </c>
      <c r="H6">
        <f>Close!H6/Close!H5-1</f>
        <v>-1.5123901983986499E-2</v>
      </c>
      <c r="I6">
        <f>Close!I6/Close!I5-1</f>
        <v>5.2263090425006542E-3</v>
      </c>
      <c r="J6">
        <f>Close!J6/Close!J5-1</f>
        <v>9.5760290369912848E-3</v>
      </c>
      <c r="K6">
        <f>Close!K6/Close!K5-1</f>
        <v>6.4445703969604473E-3</v>
      </c>
      <c r="L6">
        <f>Close!L6/Close!L5-1</f>
        <v>8.4328358208953791E-3</v>
      </c>
      <c r="M6" s="30" t="str">
        <v>GOLD-12.23 [FORTS]</v>
      </c>
      <c r="N6" s="31">
        <v>0.44323696721751188</v>
      </c>
      <c r="O6" s="31">
        <v>-8.709236878606412E-2</v>
      </c>
      <c r="P6" s="31">
        <v>6.7508315022743293E-2</v>
      </c>
      <c r="Q6" s="31">
        <v>1.0000000000000002</v>
      </c>
      <c r="R6" s="31">
        <v>-0.15856949317022018</v>
      </c>
      <c r="S6" s="31">
        <v>-3.0986178958384836E-2</v>
      </c>
      <c r="T6" s="31">
        <v>0.28168084623713885</v>
      </c>
      <c r="U6" s="31">
        <v>0.18715944623603126</v>
      </c>
      <c r="V6" s="31">
        <v>-0.24715444094931191</v>
      </c>
      <c r="W6" s="31">
        <v>-0.30233209091201058</v>
      </c>
      <c r="X6" s="31">
        <v>-0.2511025986985736</v>
      </c>
    </row>
    <row r="7" spans="1:24" ht="12.75" customHeight="1">
      <c r="A7" s="29" t="str">
        <f>Close!A7</f>
        <v>25/09/23</v>
      </c>
      <c r="B7">
        <f>Close!B7/Close!B6-1</f>
        <v>-7.107473616196347E-3</v>
      </c>
      <c r="C7">
        <f>Close!C7/Close!C6-1</f>
        <v>-3.8818076477404873E-3</v>
      </c>
      <c r="D7">
        <f>Close!D7/Close!D6-1</f>
        <v>-6.1349693251533388E-3</v>
      </c>
      <c r="E7">
        <f>Close!E7/Close!E6-1</f>
        <v>-1.9461231178941052E-3</v>
      </c>
      <c r="F7">
        <f>Close!F7/Close!F6-1</f>
        <v>-8.2542922319606138E-3</v>
      </c>
      <c r="G7">
        <f>Close!G7/Close!G6-1</f>
        <v>7.6266015863331038E-3</v>
      </c>
      <c r="H7">
        <f>Close!H7/Close!H6-1</f>
        <v>-7.4895199340501151E-3</v>
      </c>
      <c r="I7">
        <f>Close!I7/Close!I6-1</f>
        <v>-2.7467137531881347E-3</v>
      </c>
      <c r="J7">
        <f>Close!J7/Close!J6-1</f>
        <v>1.9888319437006974E-3</v>
      </c>
      <c r="K7">
        <f>Close!K7/Close!K6-1</f>
        <v>-2.7114967462038564E-4</v>
      </c>
      <c r="L7">
        <f>Close!L7/Close!L6-1</f>
        <v>-3.5521349811292735E-3</v>
      </c>
      <c r="M7" s="30" t="str">
        <v>LKOH-12.23 [FORTS]</v>
      </c>
      <c r="N7" s="31">
        <v>0.31687523452639743</v>
      </c>
      <c r="O7" s="31">
        <v>0.53937514839710343</v>
      </c>
      <c r="P7" s="31">
        <v>0.43625229178097591</v>
      </c>
      <c r="Q7" s="31">
        <v>-0.15856949317022018</v>
      </c>
      <c r="R7" s="31">
        <v>1.0000000000000002</v>
      </c>
      <c r="S7" s="31">
        <v>-8.1433212950756298E-2</v>
      </c>
      <c r="T7" s="31">
        <v>0.47091409385849037</v>
      </c>
      <c r="U7" s="31">
        <v>0.40813215412683057</v>
      </c>
      <c r="V7" s="31">
        <v>0.55198946314625408</v>
      </c>
      <c r="W7" s="31">
        <v>0.16464751297315749</v>
      </c>
      <c r="X7" s="31">
        <v>0.18199955984239358</v>
      </c>
    </row>
    <row r="8" spans="1:24" ht="12.75" customHeight="1">
      <c r="A8" s="29" t="str">
        <f>Close!A8</f>
        <v>26/09/23</v>
      </c>
      <c r="B8">
        <f>Close!B8/Close!B7-1</f>
        <v>3.7960954446853989E-3</v>
      </c>
      <c r="C8">
        <f>Close!C8/Close!C7-1</f>
        <v>-2.0938754144128602E-3</v>
      </c>
      <c r="D8">
        <f>Close!D8/Close!D7-1</f>
        <v>-4.0740740740741188E-3</v>
      </c>
      <c r="E8">
        <f>Close!E8/Close!E7-1</f>
        <v>-7.440476190476164E-3</v>
      </c>
      <c r="F8">
        <f>Close!F8/Close!F7-1</f>
        <v>-1.1031748433764088E-2</v>
      </c>
      <c r="G8">
        <f>Close!G8/Close!G7-1</f>
        <v>-1.665152891310917E-2</v>
      </c>
      <c r="H8">
        <f>Close!H8/Close!H7-1</f>
        <v>-2.279715830770912E-3</v>
      </c>
      <c r="I8">
        <f>Close!I8/Close!I7-1</f>
        <v>-3.0493802872318954E-3</v>
      </c>
      <c r="J8">
        <f>Close!J8/Close!J7-1</f>
        <v>1.3207115046950157E-2</v>
      </c>
      <c r="K8">
        <f>Close!K8/Close!K7-1</f>
        <v>3.4111535332039811E-3</v>
      </c>
      <c r="L8">
        <f>Close!L8/Close!L7-1</f>
        <v>1.559598960267472E-3</v>
      </c>
      <c r="M8" s="30" t="str">
        <v>NG-11.23 [FORTS]</v>
      </c>
      <c r="N8" s="31">
        <v>-0.1624000406652378</v>
      </c>
      <c r="O8" s="31">
        <v>3.7663083071376995E-2</v>
      </c>
      <c r="P8" s="31">
        <v>0.15099969139796016</v>
      </c>
      <c r="Q8" s="31">
        <v>-3.0986178958384836E-2</v>
      </c>
      <c r="R8" s="31">
        <v>-8.1433212950756298E-2</v>
      </c>
      <c r="S8" s="31">
        <v>0.99999999999999978</v>
      </c>
      <c r="T8" s="31">
        <v>-5.8127401883789627E-2</v>
      </c>
      <c r="U8" s="31">
        <v>-0.20091071337770108</v>
      </c>
      <c r="V8" s="31">
        <v>-6.8484906409842908E-2</v>
      </c>
      <c r="W8" s="31">
        <v>0.21354589583440292</v>
      </c>
      <c r="X8" s="31">
        <v>0.17125646913193049</v>
      </c>
    </row>
    <row r="9" spans="1:24" ht="12.75" customHeight="1">
      <c r="A9" s="29" t="str">
        <f>Close!A9</f>
        <v>27/09/23</v>
      </c>
      <c r="B9">
        <f>Close!B9/Close!B8-1</f>
        <v>1.4586709886547977E-2</v>
      </c>
      <c r="C9">
        <f>Close!C9/Close!C8-1</f>
        <v>1.4571312000932757E-3</v>
      </c>
      <c r="D9">
        <f>Close!D9/Close!D8-1</f>
        <v>1.4689475641502359E-2</v>
      </c>
      <c r="E9">
        <f>Close!E9/Close!E8-1</f>
        <v>-8.3234244946491787E-3</v>
      </c>
      <c r="F9">
        <f>Close!F9/Close!F8-1</f>
        <v>1.5225008798371853E-2</v>
      </c>
      <c r="G9">
        <f>Close!G9/Close!G8-1</f>
        <v>8.6206896551723755E-3</v>
      </c>
      <c r="H9">
        <f>Close!H9/Close!H8-1</f>
        <v>1.4037231875586809E-2</v>
      </c>
      <c r="I9">
        <f>Close!I9/Close!I8-1</f>
        <v>4.9333991119882015E-3</v>
      </c>
      <c r="J9">
        <f>Close!J9/Close!J8-1</f>
        <v>5.6509945750460311E-4</v>
      </c>
      <c r="K9">
        <f>Close!K9/Close!K8-1</f>
        <v>4.1584796598364004E-3</v>
      </c>
      <c r="L9">
        <f>Close!L9/Close!L8-1</f>
        <v>5.7096247960848334E-3</v>
      </c>
      <c r="M9" s="30" t="str">
        <v>PLZL-12.23 [FORTS]</v>
      </c>
      <c r="N9" s="31">
        <v>0.3116945496052308</v>
      </c>
      <c r="O9" s="31">
        <v>0.29452255162359925</v>
      </c>
      <c r="P9" s="31">
        <v>0.39596865547625071</v>
      </c>
      <c r="Q9" s="31">
        <v>0.28168084623713885</v>
      </c>
      <c r="R9" s="31">
        <v>0.47091409385849037</v>
      </c>
      <c r="S9" s="31">
        <v>-5.8127401883789627E-2</v>
      </c>
      <c r="T9" s="31">
        <v>1.0000000000000002</v>
      </c>
      <c r="U9" s="31">
        <v>0.46224676501793382</v>
      </c>
      <c r="V9" s="31">
        <v>0.49863280122324716</v>
      </c>
      <c r="W9" s="31">
        <v>-0.10789971233606087</v>
      </c>
      <c r="X9" s="31">
        <v>-9.8754528231301281E-3</v>
      </c>
    </row>
    <row r="10" spans="1:24" ht="12.75" customHeight="1">
      <c r="A10" s="29" t="str">
        <f>Close!A10</f>
        <v>28/09/23</v>
      </c>
      <c r="B10">
        <f>Close!B10/Close!B9-1</f>
        <v>-1.3525026624068293E-2</v>
      </c>
      <c r="C10">
        <f>Close!C10/Close!C9-1</f>
        <v>2.2232568967524236E-2</v>
      </c>
      <c r="D10">
        <f>Close!D10/Close!D9-1</f>
        <v>1.2399975566550703E-2</v>
      </c>
      <c r="E10">
        <f>Close!E10/Close!E9-1</f>
        <v>-8.1847565425919866E-3</v>
      </c>
      <c r="F10">
        <f>Close!F10/Close!F9-1</f>
        <v>2.0211611502984228E-2</v>
      </c>
      <c r="G10">
        <f>Close!G10/Close!G9-1</f>
        <v>1.3125763125763079E-2</v>
      </c>
      <c r="H10">
        <f>Close!H10/Close!H9-1</f>
        <v>1.6244683359680767E-3</v>
      </c>
      <c r="I10">
        <f>Close!I10/Close!I9-1</f>
        <v>6.3819342169857407E-3</v>
      </c>
      <c r="J10">
        <f>Close!J10/Close!J9-1</f>
        <v>5.7231070446930321E-3</v>
      </c>
      <c r="K10">
        <f>Close!K10/Close!K9-1</f>
        <v>4.5760904450817819E-3</v>
      </c>
      <c r="L10">
        <f>Close!L10/Close!L9-1</f>
        <v>2.6542800265427768E-3</v>
      </c>
      <c r="M10" s="30" t="str">
        <v>RTS-12.23 [FORTS]</v>
      </c>
      <c r="N10" s="31">
        <v>0.20639521823516702</v>
      </c>
      <c r="O10" s="31">
        <v>0.57163815132980089</v>
      </c>
      <c r="P10" s="31">
        <v>0.2126587128733981</v>
      </c>
      <c r="Q10" s="31">
        <v>0.18715944623603126</v>
      </c>
      <c r="R10" s="31">
        <v>0.40813215412683057</v>
      </c>
      <c r="S10" s="31">
        <v>-0.20091071337770108</v>
      </c>
      <c r="T10" s="31">
        <v>0.46224676501793382</v>
      </c>
      <c r="U10" s="31">
        <v>1</v>
      </c>
      <c r="V10" s="31">
        <v>0.57961247586102294</v>
      </c>
      <c r="W10" s="31">
        <v>-0.76960659241982932</v>
      </c>
      <c r="X10" s="31">
        <v>-0.67438004098696869</v>
      </c>
    </row>
    <row r="11" spans="1:24" ht="12.75" customHeight="1">
      <c r="A11" s="29" t="str">
        <f>Close!A11</f>
        <v>29/09/23</v>
      </c>
      <c r="B11">
        <f>Close!B11/Close!B10-1</f>
        <v>-1.057972579078037E-2</v>
      </c>
      <c r="C11">
        <f>Close!C11/Close!C10-1</f>
        <v>-1.5827829651560044E-2</v>
      </c>
      <c r="D11">
        <f>Close!D11/Close!D10-1</f>
        <v>-6.2748883793893873E-3</v>
      </c>
      <c r="E11">
        <f>Close!E11/Close!E10-1</f>
        <v>-1.0039421813403338E-2</v>
      </c>
      <c r="F11">
        <f>Close!F11/Close!F10-1</f>
        <v>9.7504764437352787E-3</v>
      </c>
      <c r="G11">
        <f>Close!G11/Close!G10-1</f>
        <v>-2.4103645676408769E-3</v>
      </c>
      <c r="H11">
        <f>Close!H11/Close!H10-1</f>
        <v>1.4701137899463701E-2</v>
      </c>
      <c r="I11">
        <f>Close!I11/Close!I10-1</f>
        <v>-5.1707317073170778E-3</v>
      </c>
      <c r="J11">
        <f>Close!J11/Close!J10-1</f>
        <v>1.2466773988244473E-2</v>
      </c>
      <c r="K11">
        <f>Close!K11/Close!K10-1</f>
        <v>1.4727252115303457E-2</v>
      </c>
      <c r="L11">
        <f>Close!L11/Close!L10-1</f>
        <v>1.3751011103757538E-2</v>
      </c>
      <c r="M11" s="30" t="str">
        <v>SBRF-12.23 [FORTS]</v>
      </c>
      <c r="N11" s="31">
        <v>0.18169161156537189</v>
      </c>
      <c r="O11" s="31">
        <v>0.54208362656497322</v>
      </c>
      <c r="P11" s="31">
        <v>0.23053991763993417</v>
      </c>
      <c r="Q11" s="31">
        <v>-0.24715444094931191</v>
      </c>
      <c r="R11" s="31">
        <v>0.55198946314625408</v>
      </c>
      <c r="S11" s="31">
        <v>-6.8484906409842908E-2</v>
      </c>
      <c r="T11" s="31">
        <v>0.49863280122324716</v>
      </c>
      <c r="U11" s="31">
        <v>0.57961247586102294</v>
      </c>
      <c r="V11" s="31">
        <v>1</v>
      </c>
      <c r="W11" s="31">
        <v>-0.12010157626479148</v>
      </c>
      <c r="X11" s="31">
        <v>-6.1580713656134732E-2</v>
      </c>
    </row>
    <row r="12" spans="1:24" ht="12.75" customHeight="1">
      <c r="A12" s="29">
        <f>Close!A12</f>
        <v>44967</v>
      </c>
      <c r="B12">
        <f>Close!B12/Close!B11-1</f>
        <v>-1.8439716312056875E-2</v>
      </c>
      <c r="C12">
        <f>Close!C12/Close!C11-1</f>
        <v>-6.3635311813028395E-3</v>
      </c>
      <c r="D12">
        <f>Close!D12/Close!D11-1</f>
        <v>7.2859744990894093E-4</v>
      </c>
      <c r="E12">
        <f>Close!E12/Close!E11-1</f>
        <v>-1.0778379526388493E-2</v>
      </c>
      <c r="F12">
        <f>Close!F12/Close!F11-1</f>
        <v>4.6818534287251801E-4</v>
      </c>
      <c r="G12">
        <f>Close!G12/Close!G11-1</f>
        <v>-2.5369978858351017E-2</v>
      </c>
      <c r="H12">
        <f>Close!H12/Close!H11-1</f>
        <v>-1.8080105868300556E-2</v>
      </c>
      <c r="I12">
        <f>Close!I12/Close!I11-1</f>
        <v>-1.4612140825733033E-2</v>
      </c>
      <c r="J12">
        <f>Close!J12/Close!J11-1</f>
        <v>-9.4290785386776932E-3</v>
      </c>
      <c r="K12">
        <f>Close!K12/Close!K11-1</f>
        <v>1.444241316270567E-2</v>
      </c>
      <c r="L12">
        <f>Close!L12/Close!L11-1</f>
        <v>8.7770201653851743E-3</v>
      </c>
      <c r="M12" s="30" t="str">
        <v>Si-12.23 [FORTS]</v>
      </c>
      <c r="N12" s="31">
        <v>-3.1492670872661499E-2</v>
      </c>
      <c r="O12" s="31">
        <v>-0.17528323529832918</v>
      </c>
      <c r="P12" s="31">
        <v>0.1330279527601784</v>
      </c>
      <c r="Q12" s="31">
        <v>-0.30233209091201058</v>
      </c>
      <c r="R12" s="31">
        <v>0.16464751297315749</v>
      </c>
      <c r="S12" s="31">
        <v>0.21354589583440292</v>
      </c>
      <c r="T12" s="31">
        <v>-0.10789971233606087</v>
      </c>
      <c r="U12" s="31">
        <v>-0.76960659241982932</v>
      </c>
      <c r="V12" s="31">
        <v>-0.12010157626479148</v>
      </c>
      <c r="W12" s="31">
        <v>0.99999999999999989</v>
      </c>
      <c r="X12" s="31">
        <v>0.9453381440379296</v>
      </c>
    </row>
    <row r="13" spans="1:24" ht="12.75" customHeight="1">
      <c r="A13" s="29">
        <f>Close!A13</f>
        <v>44995</v>
      </c>
      <c r="B13">
        <f>Close!B13/Close!B12-1</f>
        <v>4.4464206313918897E-3</v>
      </c>
      <c r="C13">
        <f>Close!C13/Close!C12-1</f>
        <v>5.1816488122962134E-3</v>
      </c>
      <c r="D13">
        <f>Close!D13/Close!D12-1</f>
        <v>2.4875621890547706E-3</v>
      </c>
      <c r="E13">
        <f>Close!E13/Close!E12-1</f>
        <v>-2.0396114003542465E-3</v>
      </c>
      <c r="F13">
        <f>Close!F13/Close!F12-1</f>
        <v>5.3377400155014687E-3</v>
      </c>
      <c r="G13">
        <f>Close!G13/Close!G12-1</f>
        <v>1.8903005887821456E-2</v>
      </c>
      <c r="H13">
        <f>Close!H13/Close!H12-1</f>
        <v>1.7677894755266266E-2</v>
      </c>
      <c r="I13">
        <f>Close!I13/Close!I12-1</f>
        <v>6.0708598726113561E-3</v>
      </c>
      <c r="J13">
        <f>Close!J13/Close!J12-1</f>
        <v>5.1886968531860145E-3</v>
      </c>
      <c r="K13">
        <f>Close!K13/Close!K12-1</f>
        <v>-4.5253399010832807E-3</v>
      </c>
      <c r="L13">
        <f>Close!L13/Close!L12-1</f>
        <v>-2.7324369022794226E-3</v>
      </c>
      <c r="M13" s="30" t="str">
        <f>L1</f>
        <v>CNY-12.23 [FORTS]</v>
      </c>
      <c r="N13" s="31">
        <v>3.1326879480996876E-2</v>
      </c>
      <c r="O13" s="31">
        <v>-0.12181537329283731</v>
      </c>
      <c r="P13" s="31">
        <v>0.14073963563141451</v>
      </c>
      <c r="Q13" s="31">
        <v>-0.2511025986985736</v>
      </c>
      <c r="R13" s="31">
        <v>0.18199955984239358</v>
      </c>
      <c r="S13" s="31">
        <v>0.17125646913193049</v>
      </c>
      <c r="T13" s="31">
        <v>-9.8754528231301281E-3</v>
      </c>
      <c r="U13" s="31">
        <v>-0.67438004098696869</v>
      </c>
      <c r="V13" s="31">
        <v>-6.1580713656134732E-2</v>
      </c>
      <c r="W13" s="31">
        <v>0.9453381440379296</v>
      </c>
      <c r="X13" s="31">
        <v>1.0000000000000002</v>
      </c>
    </row>
    <row r="14" spans="1:24" ht="12.75" customHeight="1">
      <c r="A14" s="29">
        <f>Close!A14</f>
        <v>45026</v>
      </c>
      <c r="B14">
        <f>Close!B14/Close!B13-1</f>
        <v>-5.2346170872067277E-2</v>
      </c>
      <c r="C14">
        <f>Close!C14/Close!C13-1</f>
        <v>-8.3984940631335325E-3</v>
      </c>
      <c r="D14">
        <f>Close!D14/Close!D13-1</f>
        <v>-6.657386673122323E-3</v>
      </c>
      <c r="E14">
        <f>Close!E14/Close!E13-1</f>
        <v>-2.1513472812340062E-4</v>
      </c>
      <c r="F14">
        <f>Close!F14/Close!F13-1</f>
        <v>-2.1761266110028266E-2</v>
      </c>
      <c r="G14">
        <f>Close!G14/Close!G13-1</f>
        <v>1.1557177615571845E-2</v>
      </c>
      <c r="H14">
        <f>Close!H14/Close!H13-1</f>
        <v>-7.9974545735983504E-4</v>
      </c>
      <c r="I14">
        <f>Close!I14/Close!I13-1</f>
        <v>-1.0683549312493823E-2</v>
      </c>
      <c r="J14">
        <f>Close!J14/Close!J13-1</f>
        <v>-1.6711229946524409E-3</v>
      </c>
      <c r="K14">
        <f>Close!K14/Close!K13-1</f>
        <v>3.7111535753797664E-3</v>
      </c>
      <c r="L14">
        <f>Close!L14/Close!L13-1</f>
        <v>2.1630975556996557E-3</v>
      </c>
    </row>
    <row r="15" spans="1:24" ht="12.75" customHeight="1">
      <c r="A15" s="29">
        <f>Close!A15</f>
        <v>45056</v>
      </c>
      <c r="B15">
        <f>Close!B15/Close!B14-1</f>
        <v>-1.950251080228893E-2</v>
      </c>
      <c r="C15">
        <f>Close!C15/Close!C14-1</f>
        <v>1.8107476635513819E-3</v>
      </c>
      <c r="D15">
        <f>Close!D15/Close!D14-1</f>
        <v>8.3470419789191119E-3</v>
      </c>
      <c r="E15">
        <f>Close!E15/Close!E14-1</f>
        <v>-2.6897627629243193E-3</v>
      </c>
      <c r="F15">
        <f>Close!F15/Close!F14-1</f>
        <v>9.2342007434944584E-3</v>
      </c>
      <c r="G15">
        <f>Close!G15/Close!G14-1</f>
        <v>5.6524353577871222E-2</v>
      </c>
      <c r="H15">
        <f>Close!H15/Close!H14-1</f>
        <v>4.733463001531657E-4</v>
      </c>
      <c r="I15">
        <f>Close!I15/Close!I14-1</f>
        <v>-6.8993100689931364E-3</v>
      </c>
      <c r="J15">
        <f>Close!J15/Close!J14-1</f>
        <v>-1.5623256332998325E-3</v>
      </c>
      <c r="K15">
        <f>Close!K15/Close!K14-1</f>
        <v>1.3927995270493598E-2</v>
      </c>
      <c r="L15">
        <f>Close!L15/Close!L14-1</f>
        <v>1.0648248075401323E-2</v>
      </c>
    </row>
    <row r="16" spans="1:24" ht="12.75" customHeight="1">
      <c r="A16" s="29">
        <f>Close!A16</f>
        <v>45087</v>
      </c>
      <c r="B16">
        <f>Close!B16/Close!B15-1</f>
        <v>3.0967127203431755E-3</v>
      </c>
      <c r="C16">
        <f>Close!C16/Close!C15-1</f>
        <v>4.023089032709537E-3</v>
      </c>
      <c r="D16">
        <f>Close!D16/Close!D15-1</f>
        <v>7.8549848942597311E-3</v>
      </c>
      <c r="E16">
        <f>Close!E16/Close!E15-1</f>
        <v>4.9625114623226274E-3</v>
      </c>
      <c r="F16">
        <f>Close!F16/Close!F15-1</f>
        <v>1.4778034801314233E-2</v>
      </c>
      <c r="G16">
        <f>Close!G16/Close!G15-1</f>
        <v>2.8173022196926745E-2</v>
      </c>
      <c r="H16">
        <f>Close!H16/Close!H15-1</f>
        <v>1.6757133394695867E-2</v>
      </c>
      <c r="I16">
        <f>Close!I16/Close!I15-1</f>
        <v>1.7921868707209132E-2</v>
      </c>
      <c r="J16">
        <f>Close!J16/Close!J15-1</f>
        <v>1.3337804105659323E-2</v>
      </c>
      <c r="K16">
        <f>Close!K16/Close!K15-1</f>
        <v>-7.3130478609334526E-3</v>
      </c>
      <c r="L16">
        <f>Close!L16/Close!L15-1</f>
        <v>-4.6985121378230188E-3</v>
      </c>
    </row>
    <row r="17" spans="1:12" ht="12.75" customHeight="1">
      <c r="A17" s="29">
        <f>Close!A17</f>
        <v>45179</v>
      </c>
      <c r="B17">
        <f>Close!B17/Close!B16-1</f>
        <v>4.0489194965566355E-2</v>
      </c>
      <c r="C17">
        <f>Close!C17/Close!C16-1</f>
        <v>7.5493612078969541E-4</v>
      </c>
      <c r="D17">
        <f>Close!D17/Close!D16-1</f>
        <v>-6.8944844124699811E-3</v>
      </c>
      <c r="E17">
        <f>Close!E17/Close!E16-1</f>
        <v>1.3311148086522451E-2</v>
      </c>
      <c r="F17">
        <f>Close!F17/Close!F16-1</f>
        <v>-5.4737636844092163E-3</v>
      </c>
      <c r="G17">
        <f>Close!G17/Close!G16-1</f>
        <v>5.5355660116247485E-3</v>
      </c>
      <c r="H17">
        <f>Close!H17/Close!H16-1</f>
        <v>5.1016523262010782E-3</v>
      </c>
      <c r="I17">
        <f>Close!I17/Close!I16-1</f>
        <v>1.4737883283877373E-2</v>
      </c>
      <c r="J17">
        <f>Close!J17/Close!J16-1</f>
        <v>9.595941027243704E-3</v>
      </c>
      <c r="K17">
        <f>Close!K17/Close!K16-1</f>
        <v>-1.6605441567362544E-2</v>
      </c>
      <c r="L17">
        <f>Close!L17/Close!L16-1</f>
        <v>-1.4019025820756759E-2</v>
      </c>
    </row>
    <row r="18" spans="1:12" ht="12.75" customHeight="1">
      <c r="A18" s="29">
        <f>Close!A18</f>
        <v>45209</v>
      </c>
      <c r="B18">
        <f>Close!B18/Close!B17-1</f>
        <v>-2.852904256533173E-3</v>
      </c>
      <c r="C18">
        <f>Close!C18/Close!C17-1</f>
        <v>5.1645099518364823E-3</v>
      </c>
      <c r="D18">
        <f>Close!D18/Close!D17-1</f>
        <v>8.0289767582251148E-3</v>
      </c>
      <c r="E18">
        <f>Close!E18/Close!E17-1</f>
        <v>-1.0064092377775058E-3</v>
      </c>
      <c r="F18">
        <f>Close!F18/Close!F17-1</f>
        <v>3.7811874972626391E-3</v>
      </c>
      <c r="G18">
        <f>Close!G18/Close!G17-1</f>
        <v>5.2298375997799074E-3</v>
      </c>
      <c r="H18">
        <f>Close!H18/Close!H17-1</f>
        <v>-4.4612794612794993E-3</v>
      </c>
      <c r="I18">
        <f>Close!I18/Close!I17-1</f>
        <v>-1.0039964908860499E-2</v>
      </c>
      <c r="J18">
        <f>Close!J18/Close!J17-1</f>
        <v>-9.9053168244719325E-3</v>
      </c>
      <c r="K18">
        <f>Close!K18/Close!K17-1</f>
        <v>1.829299156720432E-2</v>
      </c>
      <c r="L18">
        <f>Close!L18/Close!L17-1</f>
        <v>1.7772941603191761E-2</v>
      </c>
    </row>
    <row r="19" spans="1:12" ht="12.75" customHeight="1">
      <c r="A19" s="29">
        <f>Close!A19</f>
        <v>45240</v>
      </c>
      <c r="B19">
        <f>Close!B19/Close!B18-1</f>
        <v>-2.0141908903639205E-2</v>
      </c>
      <c r="C19">
        <f>Close!C19/Close!C18-1</f>
        <v>-1.3277912481237664E-3</v>
      </c>
      <c r="D19">
        <f>Close!D19/Close!D18-1</f>
        <v>-1.0360522218229695E-2</v>
      </c>
      <c r="E19">
        <f>Close!E19/Close!E18-1</f>
        <v>5.1431601272535765E-3</v>
      </c>
      <c r="F19">
        <f>Close!F19/Close!F18-1</f>
        <v>-4.1596369771365049E-3</v>
      </c>
      <c r="G19">
        <f>Close!G19/Close!G18-1</f>
        <v>2.7382256297925345E-4</v>
      </c>
      <c r="H19">
        <f>Close!H19/Close!H18-1</f>
        <v>-1.0738141540542867E-2</v>
      </c>
      <c r="I19">
        <f>Close!I19/Close!I18-1</f>
        <v>1.762504923198116E-2</v>
      </c>
      <c r="J19">
        <f>Close!J19/Close!J18-1</f>
        <v>-1.2358393408856805E-2</v>
      </c>
      <c r="K19">
        <f>Close!K19/Close!K18-1</f>
        <v>-3.1713524476080668E-2</v>
      </c>
      <c r="L19">
        <f>Close!L19/Close!L18-1</f>
        <v>-3.4212401995723396E-2</v>
      </c>
    </row>
    <row r="20" spans="1:12" ht="12.75" customHeight="1">
      <c r="A20" s="29">
        <f>Close!A20</f>
        <v>45270</v>
      </c>
      <c r="B20">
        <f>Close!B20/Close!B19-1</f>
        <v>5.1389862181732138E-3</v>
      </c>
      <c r="C20">
        <f>Close!C20/Close!C19-1</f>
        <v>8.6710214463263657E-3</v>
      </c>
      <c r="D20">
        <f>Close!D20/Close!D19-1</f>
        <v>-3.2072617246595714E-3</v>
      </c>
      <c r="E20">
        <f>Close!E20/Close!E19-1</f>
        <v>-7.6488895922350864E-3</v>
      </c>
      <c r="F20">
        <f>Close!F20/Close!F19-1</f>
        <v>1.5452022783700947E-2</v>
      </c>
      <c r="G20">
        <f>Close!G20/Close!G19-1</f>
        <v>-1.0949904188338411E-2</v>
      </c>
      <c r="H20">
        <f>Close!H20/Close!H19-1</f>
        <v>4.8034188034187242E-3</v>
      </c>
      <c r="I20">
        <f>Close!I20/Close!I19-1</f>
        <v>-1.5481373971939494E-3</v>
      </c>
      <c r="J20">
        <f>Close!J20/Close!J19-1</f>
        <v>1.7056457619544219E-2</v>
      </c>
      <c r="K20">
        <f>Close!K20/Close!K19-1</f>
        <v>7.751699213536245E-3</v>
      </c>
      <c r="L20">
        <f>Close!L20/Close!L19-1</f>
        <v>1.1070110701105751E-3</v>
      </c>
    </row>
    <row r="21" spans="1:12" ht="12.75" customHeight="1">
      <c r="A21" s="29" t="str">
        <f>Close!A21</f>
        <v>13/10/23</v>
      </c>
      <c r="B21">
        <f>Close!B21/Close!B20-1</f>
        <v>4.6711596560539137E-2</v>
      </c>
      <c r="C21">
        <f>Close!C21/Close!C20-1</f>
        <v>4.2982405868530194E-3</v>
      </c>
      <c r="D21">
        <f>Close!D21/Close!D20-1</f>
        <v>-4.2496357455079625E-4</v>
      </c>
      <c r="E21">
        <f>Close!E21/Close!E20-1</f>
        <v>2.8439294067616361E-2</v>
      </c>
      <c r="F21">
        <f>Close!F21/Close!F20-1</f>
        <v>7.6228282130939018E-3</v>
      </c>
      <c r="G21">
        <f>Close!G21/Close!G20-1</f>
        <v>-1.8820924439523989E-2</v>
      </c>
      <c r="H21">
        <f>Close!H21/Close!H20-1</f>
        <v>1.225736207277861E-2</v>
      </c>
      <c r="I21">
        <f>Close!I21/Close!I20-1</f>
        <v>9.7877701327648836E-3</v>
      </c>
      <c r="J21">
        <f>Close!J21/Close!J20-1</f>
        <v>-5.8952764555108006E-3</v>
      </c>
      <c r="K21">
        <f>Close!K21/Close!K20-1</f>
        <v>-3.2907807198965244E-3</v>
      </c>
      <c r="L21">
        <f>Close!L21/Close!L20-1</f>
        <v>-6.6347217102835643E-4</v>
      </c>
    </row>
    <row r="22" spans="1:12" ht="12.75" customHeight="1">
      <c r="A22" s="29" t="str">
        <f>Close!A22</f>
        <v>16/10/23</v>
      </c>
      <c r="B22">
        <f>Close!B22/Close!B21-1</f>
        <v>-7.9928952042628287E-3</v>
      </c>
      <c r="C22">
        <f>Close!C22/Close!C21-1</f>
        <v>1.4665601460853717E-2</v>
      </c>
      <c r="D22">
        <f>Close!D22/Close!D21-1</f>
        <v>3.7655633161250979E-3</v>
      </c>
      <c r="E22">
        <f>Close!E22/Close!E21-1</f>
        <v>-2.7911304078152011E-3</v>
      </c>
      <c r="F22">
        <f>Close!F22/Close!F21-1</f>
        <v>1.1162179908076109E-2</v>
      </c>
      <c r="G22">
        <f>Close!G22/Close!G21-1</f>
        <v>-1.9746121297602226E-2</v>
      </c>
      <c r="H22">
        <f>Close!H22/Close!H21-1</f>
        <v>5.6133038662891099E-3</v>
      </c>
      <c r="I22">
        <f>Close!I22/Close!I21-1</f>
        <v>9.117082533589338E-3</v>
      </c>
      <c r="J22">
        <f>Close!J22/Close!J21-1</f>
        <v>1.9816567829386011E-2</v>
      </c>
      <c r="K22">
        <f>Close!K22/Close!K21-1</f>
        <v>-5.110906674843374E-5</v>
      </c>
      <c r="L22">
        <f>Close!L22/Close!L21-1</f>
        <v>-1.3278253172026577E-3</v>
      </c>
    </row>
    <row r="23" spans="1:12" ht="12.75" customHeight="1">
      <c r="A23" s="29" t="str">
        <f>Close!A23</f>
        <v>17/10/23</v>
      </c>
      <c r="B23">
        <f>Close!B23/Close!B22-1</f>
        <v>1.0519247985675939E-2</v>
      </c>
      <c r="C23">
        <f>Close!C23/Close!C22-1</f>
        <v>-3.0369495528935753E-3</v>
      </c>
      <c r="D23">
        <f>Close!D23/Close!D22-1</f>
        <v>1.6034368003872368E-2</v>
      </c>
      <c r="E23">
        <f>Close!E23/Close!E22-1</f>
        <v>1.6586326646970129E-3</v>
      </c>
      <c r="F23">
        <f>Close!F23/Close!F22-1</f>
        <v>1.3509316770186297E-2</v>
      </c>
      <c r="G23">
        <f>Close!G23/Close!G22-1</f>
        <v>-6.618705035971284E-3</v>
      </c>
      <c r="H23">
        <f>Close!H23/Close!H22-1</f>
        <v>1.4063557587051134E-2</v>
      </c>
      <c r="I23">
        <f>Close!I23/Close!I22-1</f>
        <v>-1.141226818830221E-3</v>
      </c>
      <c r="J23">
        <f>Close!J23/Close!J22-1</f>
        <v>5.3454689926679677E-3</v>
      </c>
      <c r="K23">
        <f>Close!K23/Close!K22-1</f>
        <v>9.3125479171991543E-3</v>
      </c>
      <c r="L23">
        <f>Close!L23/Close!L22-1</f>
        <v>4.8013000443196674E-3</v>
      </c>
    </row>
    <row r="24" spans="1:12" ht="12.75" customHeight="1">
      <c r="A24" s="29" t="str">
        <f>Close!A24</f>
        <v>18/10/23</v>
      </c>
      <c r="B24">
        <f>Close!B24/Close!B23-1</f>
        <v>6.0908084163897591E-3</v>
      </c>
      <c r="C24">
        <f>Close!C24/Close!C23-1</f>
        <v>-1.2241213967394415E-2</v>
      </c>
      <c r="D24">
        <f>Close!D24/Close!D23-1</f>
        <v>-4.525964745116684E-3</v>
      </c>
      <c r="E24">
        <f>Close!E24/Close!E23-1</f>
        <v>9.9353169469598157E-3</v>
      </c>
      <c r="F24">
        <f>Close!F24/Close!F23-1</f>
        <v>2.6324219674915827E-3</v>
      </c>
      <c r="G24">
        <f>Close!G24/Close!G23-1</f>
        <v>4.6349942062573479E-3</v>
      </c>
      <c r="H24">
        <f>Close!H24/Close!H23-1</f>
        <v>3.2549400926216165E-3</v>
      </c>
      <c r="I24">
        <f>Close!I24/Close!I23-1</f>
        <v>-1.1425307055127343E-3</v>
      </c>
      <c r="J24">
        <f>Close!J24/Close!J23-1</f>
        <v>-9.556313993174026E-3</v>
      </c>
      <c r="K24">
        <f>Close!K24/Close!K23-1</f>
        <v>-2.7143088640414481E-3</v>
      </c>
      <c r="L24">
        <f>Close!L24/Close!L23-1</f>
        <v>-4.9988973020657079E-3</v>
      </c>
    </row>
    <row r="25" spans="1:12" ht="12.75" customHeight="1">
      <c r="A25" s="29" t="str">
        <f>Close!A25</f>
        <v>19/10/23</v>
      </c>
      <c r="B25">
        <f>Close!B25/Close!B24-1</f>
        <v>1.8602091359383621E-2</v>
      </c>
      <c r="C25">
        <f>Close!C25/Close!C24-1</f>
        <v>1.4277555682467025E-3</v>
      </c>
      <c r="D25">
        <f>Close!D25/Close!D24-1</f>
        <v>1.6391481215601855E-2</v>
      </c>
      <c r="E25">
        <f>Close!E25/Close!E24-1</f>
        <v>1.178459804273202E-2</v>
      </c>
      <c r="F25">
        <f>Close!F25/Close!F24-1</f>
        <v>-5.3899369321812607E-3</v>
      </c>
      <c r="G25">
        <f>Close!G25/Close!G24-1</f>
        <v>-3.5755478662053086E-2</v>
      </c>
      <c r="H25">
        <f>Close!H25/Close!H24-1</f>
        <v>-3.6879153011524224E-3</v>
      </c>
      <c r="I25">
        <f>Close!I25/Close!I24-1</f>
        <v>9.0553808025926052E-3</v>
      </c>
      <c r="J25">
        <f>Close!J25/Close!J24-1</f>
        <v>2.9380826290399398E-3</v>
      </c>
      <c r="K25">
        <f>Close!K25/Close!K24-1</f>
        <v>-7.7080879067311647E-3</v>
      </c>
      <c r="L25">
        <f>Close!L25/Close!L24-1</f>
        <v>-7.3882526782416136E-3</v>
      </c>
    </row>
    <row r="26" spans="1:12" ht="12.75" customHeight="1">
      <c r="A26" s="29" t="str">
        <f>Close!A26</f>
        <v>20/10/23</v>
      </c>
      <c r="B26">
        <f>Close!B26/Close!B25-1</f>
        <v>-6.267559974065362E-3</v>
      </c>
      <c r="C26">
        <f>Close!C26/Close!C25-1</f>
        <v>4.9615055603080549E-3</v>
      </c>
      <c r="D26">
        <f>Close!D26/Close!D25-1</f>
        <v>1.1830488522660332E-2</v>
      </c>
      <c r="E26">
        <f>Close!E26/Close!E25-1</f>
        <v>4.5576543272396464E-3</v>
      </c>
      <c r="F26">
        <f>Close!F26/Close!F25-1</f>
        <v>1.815693175786226E-4</v>
      </c>
      <c r="G26">
        <f>Close!G26/Close!G25-1</f>
        <v>-1.4653110047846862E-2</v>
      </c>
      <c r="H26">
        <f>Close!H26/Close!H25-1</f>
        <v>-3.3635614179720053E-3</v>
      </c>
      <c r="I26">
        <f>Close!I26/Close!I25-1</f>
        <v>1.4547515586623927E-2</v>
      </c>
      <c r="J26">
        <f>Close!J26/Close!J25-1</f>
        <v>4.8462929475587835E-3</v>
      </c>
      <c r="K26">
        <f>Close!K26/Close!K25-1</f>
        <v>-1.2793089684675962E-2</v>
      </c>
      <c r="L26">
        <f>Close!L26/Close!L25-1</f>
        <v>-1.4365463342017049E-2</v>
      </c>
    </row>
    <row r="27" spans="1:12" ht="12.75" customHeight="1">
      <c r="A27" s="29" t="str">
        <f>Close!A27</f>
        <v>23/10/23</v>
      </c>
      <c r="B27">
        <f>Close!B27/Close!B26-1</f>
        <v>-1.4897781644192976E-2</v>
      </c>
      <c r="C27">
        <f>Close!C27/Close!C26-1</f>
        <v>-7.0934059698104512E-3</v>
      </c>
      <c r="D27">
        <f>Close!D27/Close!D26-1</f>
        <v>-4.8862777034495153E-3</v>
      </c>
      <c r="E27">
        <f>Close!E27/Close!E26-1</f>
        <v>-2.0164339365835726E-4</v>
      </c>
      <c r="F27">
        <f>Close!F27/Close!F26-1</f>
        <v>-5.3483403387747375E-3</v>
      </c>
      <c r="G27">
        <f>Close!G27/Close!G26-1</f>
        <v>3.0349013657060553E-4</v>
      </c>
      <c r="H27">
        <f>Close!H27/Close!H26-1</f>
        <v>-4.8969327995235234E-3</v>
      </c>
      <c r="I27">
        <f>Close!I27/Close!I26-1</f>
        <v>7.8212290502792658E-3</v>
      </c>
      <c r="J27">
        <f>Close!J27/Close!J26-1</f>
        <v>-1.5476533256550962E-3</v>
      </c>
      <c r="K27">
        <f>Close!K27/Close!K26-1</f>
        <v>-1.1455644367036721E-2</v>
      </c>
      <c r="L27">
        <f>Close!L27/Close!L26-1</f>
        <v>-8.7600060413836056E-3</v>
      </c>
    </row>
    <row r="28" spans="1:12" ht="12.75" customHeight="1">
      <c r="A28" s="29" t="str">
        <f>Close!A28</f>
        <v>24/10/23</v>
      </c>
      <c r="B28">
        <f>Close!B28/Close!B27-1</f>
        <v>-2.5278728336461054E-2</v>
      </c>
      <c r="C28">
        <f>Close!C28/Close!C27-1</f>
        <v>-9.1444247585303895E-4</v>
      </c>
      <c r="D28">
        <f>Close!D28/Close!D27-1</f>
        <v>4.5595370316244832E-3</v>
      </c>
      <c r="E28">
        <f>Close!E28/Close!E27-1</f>
        <v>-8.0673624766802732E-4</v>
      </c>
      <c r="F28">
        <f>Close!F28/Close!F27-1</f>
        <v>-1.0950749705171958E-3</v>
      </c>
      <c r="G28">
        <f>Close!G28/Close!G27-1</f>
        <v>1.5473300970873849E-2</v>
      </c>
      <c r="H28">
        <f>Close!H28/Close!H27-1</f>
        <v>-4.5719035743972958E-3</v>
      </c>
      <c r="I28">
        <f>Close!I28/Close!I27-1</f>
        <v>1.2195121951219523E-2</v>
      </c>
      <c r="J28">
        <f>Close!J28/Close!J27-1</f>
        <v>4.6862045348041725E-3</v>
      </c>
      <c r="K28">
        <f>Close!K28/Close!K27-1</f>
        <v>-1.1483524550621849E-2</v>
      </c>
      <c r="L28">
        <f>Close!L28/Close!L27-1</f>
        <v>-1.287520950784693E-2</v>
      </c>
    </row>
    <row r="29" spans="1:12" ht="12.75" customHeight="1">
      <c r="A29" s="29" t="str">
        <f>Close!A29</f>
        <v>25/10/23</v>
      </c>
      <c r="B29">
        <f>Close!B29/Close!B28-1</f>
        <v>1.6534541336353348E-2</v>
      </c>
      <c r="C29">
        <f>Close!C29/Close!C28-1</f>
        <v>-4.1759624735426826E-3</v>
      </c>
      <c r="D29">
        <f>Close!D29/Close!D28-1</f>
        <v>1.2510910677916875E-2</v>
      </c>
      <c r="E29">
        <f>Close!E29/Close!E28-1</f>
        <v>5.3489428268658212E-3</v>
      </c>
      <c r="F29">
        <f>Close!F29/Close!F28-1</f>
        <v>-6.8728039353478376E-3</v>
      </c>
      <c r="G29">
        <f>Close!G29/Close!G28-1</f>
        <v>1.8225276366895748E-2</v>
      </c>
      <c r="H29">
        <f>Close!H29/Close!H28-1</f>
        <v>4.1419624217118312E-3</v>
      </c>
      <c r="I29">
        <f>Close!I29/Close!I28-1</f>
        <v>-2.0080321285140812E-3</v>
      </c>
      <c r="J29">
        <f>Close!J29/Close!J28-1</f>
        <v>8.9698970255820409E-3</v>
      </c>
      <c r="K29">
        <f>Close!K29/Close!K28-1</f>
        <v>2.0157226365651315E-3</v>
      </c>
      <c r="L29">
        <f>Close!L29/Close!L28-1</f>
        <v>-1.5435671837626952E-4</v>
      </c>
    </row>
    <row r="30" spans="1:12" ht="12.75" customHeight="1">
      <c r="A30" s="29" t="str">
        <f>Close!A30</f>
        <v>26/10/23</v>
      </c>
      <c r="B30">
        <f>Close!B30/Close!B29-1</f>
        <v>-1.5151515151515138E-2</v>
      </c>
      <c r="C30">
        <f>Close!C30/Close!C29-1</f>
        <v>-7.9848345588234837E-3</v>
      </c>
      <c r="D30">
        <f>Close!D30/Close!D29-1</f>
        <v>-7.7586206896551602E-3</v>
      </c>
      <c r="E30">
        <f>Close!E30/Close!E29-1</f>
        <v>2.2085027355318587E-3</v>
      </c>
      <c r="F30">
        <f>Close!F30/Close!F29-1</f>
        <v>-1.9444955491713989E-2</v>
      </c>
      <c r="G30">
        <f>Close!G30/Close!G29-1</f>
        <v>3.1396713615023497E-2</v>
      </c>
      <c r="H30">
        <f>Close!H30/Close!H29-1</f>
        <v>-1.5443341150641166E-2</v>
      </c>
      <c r="I30">
        <f>Close!I30/Close!I29-1</f>
        <v>-2.0852387049570154E-2</v>
      </c>
      <c r="J30">
        <f>Close!J30/Close!J29-1</f>
        <v>-1.607339710536615E-2</v>
      </c>
      <c r="K30">
        <f>Close!K30/Close!K29-1</f>
        <v>7.5384599095809079E-3</v>
      </c>
      <c r="L30">
        <f>Close!L30/Close!L29-1</f>
        <v>8.3365495947511636E-3</v>
      </c>
    </row>
    <row r="31" spans="1:12" ht="12.75" customHeight="1">
      <c r="A31" s="29" t="str">
        <f>Close!A31</f>
        <v>27/10/23</v>
      </c>
      <c r="B31">
        <f>Close!B31/Close!B30-1</f>
        <v>1.4705882352941124E-2</v>
      </c>
      <c r="C31">
        <f>Close!C31/Close!C30-1</f>
        <v>-5.0379292373617934E-3</v>
      </c>
      <c r="D31">
        <f>Close!D31/Close!D30-1</f>
        <v>1.2684622067767215E-2</v>
      </c>
      <c r="E31">
        <f>Close!E31/Close!E30-1</f>
        <v>1.0166775179045295E-2</v>
      </c>
      <c r="F31">
        <f>Close!F31/Close!F30-1</f>
        <v>1.1690504712283722E-2</v>
      </c>
      <c r="G31">
        <f>Close!G31/Close!G30-1</f>
        <v>-1.3371266002844995E-2</v>
      </c>
      <c r="H31">
        <f>Close!H31/Close!H30-1</f>
        <v>1.1267938744309092E-2</v>
      </c>
      <c r="I31">
        <f>Close!I31/Close!I30-1</f>
        <v>-9.3405566971793696E-4</v>
      </c>
      <c r="J31">
        <f>Close!J31/Close!J30-1</f>
        <v>-5.7826448371822714E-4</v>
      </c>
      <c r="K31">
        <f>Close!K31/Close!K30-1</f>
        <v>6.5783251542124166E-3</v>
      </c>
      <c r="L31">
        <f>Close!L31/Close!L30-1</f>
        <v>1.5310418739953313E-3</v>
      </c>
    </row>
    <row r="32" spans="1:12" ht="12.75" customHeight="1">
      <c r="A32" s="29" t="str">
        <f>Close!A32</f>
        <v>30/10/23</v>
      </c>
      <c r="B32">
        <f>Close!B32/Close!B31-1</f>
        <v>-2.1962095875139309E-2</v>
      </c>
      <c r="C32">
        <f>Close!C32/Close!C31-1</f>
        <v>-2.8518216738446789E-3</v>
      </c>
      <c r="D32">
        <f>Close!D32/Close!D31-1</f>
        <v>2.916952642415982E-3</v>
      </c>
      <c r="E32">
        <f>Close!E32/Close!E31-1</f>
        <v>-5.4040654437284008E-3</v>
      </c>
      <c r="F32">
        <f>Close!F32/Close!F31-1</f>
        <v>-1.3638244147395784E-2</v>
      </c>
      <c r="G32">
        <f>Close!G32/Close!G31-1</f>
        <v>-3.114186851211076E-2</v>
      </c>
      <c r="H32">
        <f>Close!H32/Close!H31-1</f>
        <v>-6.8909065091919963E-3</v>
      </c>
      <c r="I32">
        <f>Close!I32/Close!I31-1</f>
        <v>8.8818249813014116E-3</v>
      </c>
      <c r="J32">
        <f>Close!J32/Close!J31-1</f>
        <v>-1.0487108089538566E-3</v>
      </c>
      <c r="K32">
        <f>Close!K32/Close!K31-1</f>
        <v>-1.6922964494137993E-2</v>
      </c>
      <c r="L32">
        <f>Close!L32/Close!L31-1</f>
        <v>-1.5057708476649112E-2</v>
      </c>
    </row>
    <row r="33" spans="1:12" ht="12.75" customHeight="1">
      <c r="A33" s="29" t="str">
        <f>Close!A33</f>
        <v>31/10/23</v>
      </c>
      <c r="B33">
        <f>Close!B33/Close!B32-1</f>
        <v>-1.6755955773395614E-2</v>
      </c>
      <c r="C33">
        <f>Close!C33/Close!C32-1</f>
        <v>3.8522150236386388E-3</v>
      </c>
      <c r="D33">
        <f>Close!D33/Close!D32-1</f>
        <v>8.2691759338466841E-3</v>
      </c>
      <c r="E33">
        <f>Close!E33/Close!E32-1</f>
        <v>-6.6796271372313587E-3</v>
      </c>
      <c r="F33">
        <f>Close!F33/Close!F32-1</f>
        <v>-1.0890788388944306E-2</v>
      </c>
      <c r="G33">
        <f>Close!G33/Close!G32-1</f>
        <v>6.9642857142857117E-2</v>
      </c>
      <c r="H33">
        <f>Close!H33/Close!H32-1</f>
        <v>-2.7157731837373245E-2</v>
      </c>
      <c r="I33">
        <f>Close!I33/Close!I32-1</f>
        <v>-1.6031878417199552E-2</v>
      </c>
      <c r="J33">
        <f>Close!J33/Close!J32-1</f>
        <v>-5.5024616275701765E-3</v>
      </c>
      <c r="K33">
        <f>Close!K33/Close!K32-1</f>
        <v>1.0959369623855686E-2</v>
      </c>
      <c r="L33">
        <f>Close!L33/Close!L32-1</f>
        <v>6.3634952661804078E-3</v>
      </c>
    </row>
    <row r="34" spans="1:12" ht="12.75" customHeight="1">
      <c r="A34" s="29">
        <f>Close!A34</f>
        <v>44937</v>
      </c>
      <c r="B34">
        <f>Close!B34/Close!B33-1</f>
        <v>-6.0282865754696102E-3</v>
      </c>
      <c r="C34">
        <f>Close!C34/Close!C33-1</f>
        <v>1.2384440955869547E-2</v>
      </c>
      <c r="D34">
        <f>Close!D34/Close!D33-1</f>
        <v>1.2273755656108554E-2</v>
      </c>
      <c r="E34">
        <f>Close!E34/Close!E33-1</f>
        <v>-3.5128217995684663E-3</v>
      </c>
      <c r="F34">
        <f>Close!F34/Close!F33-1</f>
        <v>1.1186173012809331E-2</v>
      </c>
      <c r="G34">
        <f>Close!G34/Close!G33-1</f>
        <v>-2.3928770172509717E-2</v>
      </c>
      <c r="H34">
        <f>Close!H34/Close!H33-1</f>
        <v>1.1506972481823086E-2</v>
      </c>
      <c r="I34">
        <f>Close!I34/Close!I33-1</f>
        <v>1.2996797890374889E-2</v>
      </c>
      <c r="J34">
        <f>Close!J34/Close!J33-1</f>
        <v>5.7149097262667592E-3</v>
      </c>
      <c r="K34">
        <f>Close!K34/Close!K33-1</f>
        <v>-9.443475703271087E-3</v>
      </c>
      <c r="L34">
        <f>Close!L34/Close!L33-1</f>
        <v>-6.5545959284393218E-3</v>
      </c>
    </row>
    <row r="35" spans="1:12" ht="12.75" customHeight="1">
      <c r="A35" s="29">
        <f>Close!A35</f>
        <v>44968</v>
      </c>
      <c r="B35">
        <f>Close!B35/Close!B34-1</f>
        <v>2.0177280149288546E-2</v>
      </c>
      <c r="C35">
        <f>Close!C35/Close!C34-1</f>
        <v>-1.2347806110728277E-2</v>
      </c>
      <c r="D35">
        <f>Close!D35/Close!D34-1</f>
        <v>1.0169302117673418E-2</v>
      </c>
      <c r="E35">
        <f>Close!E35/Close!E34-1</f>
        <v>4.8849272296922486E-3</v>
      </c>
      <c r="F35">
        <f>Close!F35/Close!F34-1</f>
        <v>-1.0700909577313622E-3</v>
      </c>
      <c r="G35">
        <f>Close!G35/Close!G34-1</f>
        <v>2.5655644241733278E-3</v>
      </c>
      <c r="H35">
        <f>Close!H35/Close!H34-1</f>
        <v>-5.0683760683760681E-3</v>
      </c>
      <c r="I35">
        <f>Close!I35/Close!I34-1</f>
        <v>-7.5306805503905228E-3</v>
      </c>
      <c r="J35">
        <f>Close!J35/Close!J34-1</f>
        <v>-4.0175178254732158E-3</v>
      </c>
      <c r="K35">
        <f>Close!K35/Close!K34-1</f>
        <v>3.4676931886870044E-3</v>
      </c>
      <c r="L35">
        <f>Close!L35/Close!L34-1</f>
        <v>5.2006520220446717E-3</v>
      </c>
    </row>
    <row r="36" spans="1:12" ht="12.75" customHeight="1">
      <c r="A36" s="29">
        <f>Close!A36</f>
        <v>44996</v>
      </c>
      <c r="B36">
        <f>Close!B36/Close!B35-1</f>
        <v>-1.7491711443923696E-2</v>
      </c>
      <c r="C36">
        <f>Close!C36/Close!C35-1</f>
        <v>4.9427225678897457E-3</v>
      </c>
      <c r="D36">
        <f>Close!D36/Close!D35-1</f>
        <v>7.356601581945954E-3</v>
      </c>
      <c r="E36">
        <f>Close!E36/Close!E35-1</f>
        <v>3.5080685576827086E-4</v>
      </c>
      <c r="F36">
        <f>Close!F36/Close!F35-1</f>
        <v>-2.9531406071309219E-3</v>
      </c>
      <c r="G36">
        <f>Close!G36/Close!G35-1</f>
        <v>-4.8336650554449134E-3</v>
      </c>
      <c r="H36">
        <f>Close!H36/Close!H35-1</f>
        <v>-1.3229444964649728E-3</v>
      </c>
      <c r="I36">
        <f>Close!I36/Close!I35-1</f>
        <v>1.3302107728337287E-2</v>
      </c>
      <c r="J36">
        <f>Close!J36/Close!J35-1</f>
        <v>-3.3432662257431023E-3</v>
      </c>
      <c r="K36">
        <f>Close!K36/Close!K35-1</f>
        <v>-1.0472808741783468E-2</v>
      </c>
      <c r="L36">
        <f>Close!L36/Close!L35-1</f>
        <v>-6.7953667953667418E-3</v>
      </c>
    </row>
    <row r="37" spans="1:12" ht="12.75" customHeight="1">
      <c r="A37" s="29">
        <f>Close!A37</f>
        <v>45088</v>
      </c>
      <c r="B37">
        <f>Close!B37/Close!B36-1</f>
        <v>1.7454037700721514E-3</v>
      </c>
      <c r="C37">
        <f>Close!C37/Close!C36-1</f>
        <v>2.3145469274390429E-3</v>
      </c>
      <c r="D37">
        <f>Close!D37/Close!D36-1</f>
        <v>-8.1265099934109131E-3</v>
      </c>
      <c r="E37">
        <f>Close!E37/Close!E36-1</f>
        <v>-7.8152397174490185E-3</v>
      </c>
      <c r="F37">
        <f>Close!F37/Close!F36-1</f>
        <v>2.0239564428312207E-2</v>
      </c>
      <c r="G37">
        <f>Close!G37/Close!G36-1</f>
        <v>-4.9142857142857155E-2</v>
      </c>
      <c r="H37">
        <f>Close!H37/Close!H36-1</f>
        <v>-2.8988499221525021E-3</v>
      </c>
      <c r="I37">
        <f>Close!I37/Close!I36-1</f>
        <v>1.0261625219561754E-2</v>
      </c>
      <c r="J37">
        <f>Close!J37/Close!J36-1</f>
        <v>1.8741340333989553E-2</v>
      </c>
      <c r="K37">
        <f>Close!K37/Close!K36-1</f>
        <v>-1.4204090350830034E-3</v>
      </c>
      <c r="L37">
        <f>Close!L37/Close!L36-1</f>
        <v>-1.5549681231541435E-4</v>
      </c>
    </row>
    <row r="38" spans="1:12" ht="12.75" customHeight="1">
      <c r="A38" s="29">
        <f>Close!A38</f>
        <v>45118</v>
      </c>
      <c r="B38">
        <f>Close!B38/Close!B37-1</f>
        <v>-2.8923219886165752E-2</v>
      </c>
      <c r="C38">
        <f>Close!C38/Close!C37-1</f>
        <v>-6.8698764576838878E-3</v>
      </c>
      <c r="D38">
        <f>Close!D38/Close!D37-1</f>
        <v>-3.6536758193090879E-3</v>
      </c>
      <c r="E38">
        <f>Close!E38/Close!E37-1</f>
        <v>-2.6255995960616785E-3</v>
      </c>
      <c r="F38">
        <f>Close!F38/Close!F37-1</f>
        <v>-7.3147476127453093E-3</v>
      </c>
      <c r="G38">
        <f>Close!G38/Close!G37-1</f>
        <v>-2.0132211538461453E-2</v>
      </c>
      <c r="H38">
        <f>Close!H38/Close!H37-1</f>
        <v>-1.7167604127126257E-3</v>
      </c>
      <c r="I38">
        <f>Close!I38/Close!I37-1</f>
        <v>-3.5688140556369152E-3</v>
      </c>
      <c r="J38">
        <f>Close!J38/Close!J37-1</f>
        <v>-1.2168933428775563E-3</v>
      </c>
      <c r="K38">
        <f>Close!K38/Close!K37-1</f>
        <v>4.566747235353219E-3</v>
      </c>
      <c r="L38">
        <f>Close!L38/Close!L37-1</f>
        <v>3.3437013996890919E-3</v>
      </c>
    </row>
    <row r="39" spans="1:12" ht="12.75" customHeight="1">
      <c r="A39" s="29">
        <f>Close!A39</f>
        <v>45149</v>
      </c>
      <c r="B39">
        <f>Close!B39/Close!B38-1</f>
        <v>-2.0813397129186506E-2</v>
      </c>
      <c r="C39">
        <f>Close!C39/Close!C38-1</f>
        <v>-2.3251758414233326E-4</v>
      </c>
      <c r="D39">
        <f>Close!D39/Close!D38-1</f>
        <v>-1.3390376708523166E-2</v>
      </c>
      <c r="E39">
        <f>Close!E39/Close!E38-1</f>
        <v>-1.0125044297068841E-2</v>
      </c>
      <c r="F39">
        <f>Close!F39/Close!F38-1</f>
        <v>-4.1287362913052794E-3</v>
      </c>
      <c r="G39">
        <f>Close!G39/Close!G38-1</f>
        <v>-5.8264336093223346E-3</v>
      </c>
      <c r="H39">
        <f>Close!H39/Close!H38-1</f>
        <v>-4.2517521193947694E-3</v>
      </c>
      <c r="I39">
        <f>Close!I39/Close!I38-1</f>
        <v>9.8264303425474875E-3</v>
      </c>
      <c r="J39">
        <f>Close!J39/Close!J38-1</f>
        <v>1.6985594495807277E-2</v>
      </c>
      <c r="K39">
        <f>Close!K39/Close!K38-1</f>
        <v>-8.1870348880537236E-3</v>
      </c>
      <c r="L39">
        <f>Close!L39/Close!L38-1</f>
        <v>-6.5101139269937436E-3</v>
      </c>
    </row>
    <row r="40" spans="1:12" ht="12.75" customHeight="1">
      <c r="A40" s="29">
        <f>Close!A40</f>
        <v>45180</v>
      </c>
      <c r="B40">
        <f>Close!B40/Close!B39-1</f>
        <v>-1.2215978499877655E-3</v>
      </c>
      <c r="C40">
        <f>Close!C40/Close!C39-1</f>
        <v>-1.918716204430515E-3</v>
      </c>
      <c r="D40">
        <f>Close!D40/Close!D39-1</f>
        <v>-2.8157909556794092E-3</v>
      </c>
      <c r="E40">
        <f>Close!E40/Close!E39-1</f>
        <v>5.2165908044801146E-3</v>
      </c>
      <c r="F40">
        <f>Close!F40/Close!F39-1</f>
        <v>-3.5988310996588613E-3</v>
      </c>
      <c r="G40">
        <f>Close!G40/Close!G39-1</f>
        <v>-2.344231955582976E-2</v>
      </c>
      <c r="H40">
        <f>Close!H40/Close!H39-1</f>
        <v>-2.7424604035583E-3</v>
      </c>
      <c r="I40">
        <f>Close!I40/Close!I39-1</f>
        <v>-3.0010913059294042E-3</v>
      </c>
      <c r="J40">
        <f>Close!J40/Close!J39-1</f>
        <v>-5.285412262156397E-3</v>
      </c>
      <c r="K40">
        <f>Close!K40/Close!K39-1</f>
        <v>1.7282095319879343E-3</v>
      </c>
      <c r="L40">
        <f>Close!L40/Close!L39-1</f>
        <v>-2.1842577424135978E-3</v>
      </c>
    </row>
    <row r="41" spans="1:12" ht="12.75" customHeight="1">
      <c r="A41" s="29">
        <f>Close!A41</f>
        <v>45210</v>
      </c>
      <c r="B41">
        <f>Close!B41/Close!B40-1</f>
        <v>1.1619373776907915E-2</v>
      </c>
      <c r="C41">
        <f>Close!C41/Close!C40-1</f>
        <v>-4.6603751602003474E-4</v>
      </c>
      <c r="D41">
        <f>Close!D41/Close!D40-1</f>
        <v>-1.9766194160500961E-3</v>
      </c>
      <c r="E41">
        <f>Close!E41/Close!E40-1</f>
        <v>-1.0429916051895138E-2</v>
      </c>
      <c r="F41">
        <f>Close!F41/Close!F40-1</f>
        <v>4.0885909530896658E-3</v>
      </c>
      <c r="G41">
        <f>Close!G41/Close!G40-1</f>
        <v>-1.137081490840175E-2</v>
      </c>
      <c r="H41">
        <f>Close!H41/Close!H40-1</f>
        <v>-9.5205771523553251E-3</v>
      </c>
      <c r="I41">
        <f>Close!I41/Close!I40-1</f>
        <v>-2.7364772416309524E-3</v>
      </c>
      <c r="J41">
        <f>Close!J41/Close!J40-1</f>
        <v>1.1547998583067764E-2</v>
      </c>
      <c r="K41">
        <f>Close!K41/Close!K40-1</f>
        <v>3.8469369166640455E-3</v>
      </c>
      <c r="L41">
        <f>Close!L41/Close!L40-1</f>
        <v>2.1890391681651522E-3</v>
      </c>
    </row>
    <row r="42" spans="1:12" ht="12.75" customHeight="1">
      <c r="A42" s="29" t="str">
        <f>Close!A42</f>
        <v>13/11/23</v>
      </c>
      <c r="B42">
        <f>Close!B42/Close!B41-1</f>
        <v>8.9469229839198583E-3</v>
      </c>
      <c r="C42">
        <f>Close!C42/Close!C41-1</f>
        <v>-3.3803473598321698E-3</v>
      </c>
      <c r="D42">
        <f>Close!D42/Close!D41-1</f>
        <v>4.2440018107741118E-3</v>
      </c>
      <c r="E42">
        <f>Close!E42/Close!E41-1</f>
        <v>4.7300771208227399E-3</v>
      </c>
      <c r="F42">
        <f>Close!F42/Close!F41-1</f>
        <v>-2.8201438848920457E-3</v>
      </c>
      <c r="G42">
        <f>Close!G42/Close!G41-1</f>
        <v>4.5047923322683703E-2</v>
      </c>
      <c r="H42">
        <f>Close!H42/Close!H41-1</f>
        <v>8.9882704388701828E-3</v>
      </c>
      <c r="I42">
        <f>Close!I42/Close!I41-1</f>
        <v>1.1341809201500075E-2</v>
      </c>
      <c r="J42">
        <f>Close!J42/Close!J41-1</f>
        <v>1.2501750945510537E-2</v>
      </c>
      <c r="K42">
        <f>Close!K42/Close!K41-1</f>
        <v>-1.1742100768573849E-2</v>
      </c>
      <c r="L42">
        <f>Close!L42/Close!L41-1</f>
        <v>-1.0141196661206053E-2</v>
      </c>
    </row>
    <row r="43" spans="1:12" ht="12.75" customHeight="1">
      <c r="A43" s="29" t="str">
        <f>Close!A43</f>
        <v>14/11/23</v>
      </c>
      <c r="B43">
        <f>Close!B43/Close!B42-1</f>
        <v>-1.7974835230677444E-3</v>
      </c>
      <c r="C43">
        <f>Close!C43/Close!C42-1</f>
        <v>-1.3391812865497066E-2</v>
      </c>
      <c r="D43">
        <f>Close!D43/Close!D42-1</f>
        <v>-1.5044796303600561E-2</v>
      </c>
      <c r="E43">
        <f>Close!E43/Close!E42-1</f>
        <v>8.494524613652521E-3</v>
      </c>
      <c r="F43">
        <f>Close!F43/Close!F42-1</f>
        <v>-1.3606718226942149E-2</v>
      </c>
      <c r="G43">
        <f>Close!G43/Close!G42-1</f>
        <v>-3.3934576582084874E-2</v>
      </c>
      <c r="H43">
        <f>Close!H43/Close!H42-1</f>
        <v>1.4106828750064526E-3</v>
      </c>
      <c r="I43">
        <f>Close!I43/Close!I42-1</f>
        <v>-3.7984986886135941E-3</v>
      </c>
      <c r="J43">
        <f>Close!J43/Close!J42-1</f>
        <v>-1.1551897070521955E-2</v>
      </c>
      <c r="K43">
        <f>Close!K43/Close!K42-1</f>
        <v>-1.0023763231799543E-2</v>
      </c>
      <c r="L43">
        <f>Close!L43/Close!L42-1</f>
        <v>-5.6742060052012988E-3</v>
      </c>
    </row>
    <row r="44" spans="1:12" ht="12.75" customHeight="1">
      <c r="A44" s="29" t="str">
        <f>Close!A44</f>
        <v>15/11/23</v>
      </c>
      <c r="B44">
        <f>Close!B44/Close!B43-1</f>
        <v>-1.6686674669867951E-2</v>
      </c>
      <c r="C44">
        <f>Close!C44/Close!C43-1</f>
        <v>3.9120384091044791E-3</v>
      </c>
      <c r="D44">
        <f>Close!D44/Close!D43-1</f>
        <v>-1.0297482837529071E-3</v>
      </c>
      <c r="E44">
        <f>Close!E44/Close!E43-1</f>
        <v>-2.942967322914547E-3</v>
      </c>
      <c r="F44">
        <f>Close!F44/Close!F43-1</f>
        <v>7.3433682947878776E-3</v>
      </c>
      <c r="G44">
        <f>Close!G44/Close!G43-1</f>
        <v>1.13924050632912E-2</v>
      </c>
      <c r="H44">
        <f>Close!H44/Close!H43-1</f>
        <v>-4.1478260869565187E-3</v>
      </c>
      <c r="I44">
        <f>Close!I44/Close!I43-1</f>
        <v>1.9972764412165223E-2</v>
      </c>
      <c r="J44">
        <f>Close!J44/Close!J43-1</f>
        <v>7.4530249483886202E-3</v>
      </c>
      <c r="K44">
        <f>Close!K44/Close!K43-1</f>
        <v>-1.4806005324488281E-2</v>
      </c>
      <c r="L44">
        <f>Close!L44/Close!L43-1</f>
        <v>-1.4187207735594898E-2</v>
      </c>
    </row>
    <row r="45" spans="1:12" ht="12.75" customHeight="1">
      <c r="A45" s="29" t="str">
        <f>Close!A45</f>
        <v>16/11/23</v>
      </c>
      <c r="B45">
        <f>Close!B45/Close!B44-1</f>
        <v>-3.7235990721523615E-2</v>
      </c>
      <c r="C45">
        <f>Close!C45/Close!C44-1</f>
        <v>-5.6090216685363847E-3</v>
      </c>
      <c r="D45">
        <f>Close!D45/Close!D44-1</f>
        <v>-5.383117626846845E-3</v>
      </c>
      <c r="E45">
        <f>Close!E45/Close!E44-1</f>
        <v>7.3282442748092702E-3</v>
      </c>
      <c r="F45">
        <f>Close!F45/Close!F44-1</f>
        <v>-1.7614684228105082E-2</v>
      </c>
      <c r="G45">
        <f>Close!G45/Close!G44-1</f>
        <v>-2.1589486858573315E-2</v>
      </c>
      <c r="H45">
        <f>Close!H45/Close!H44-1</f>
        <v>-2.3838006339338413E-3</v>
      </c>
      <c r="I45">
        <f>Close!I45/Close!I44-1</f>
        <v>-1.1214953271028061E-2</v>
      </c>
      <c r="J45">
        <f>Close!J45/Close!J44-1</f>
        <v>-1.2434009447068628E-2</v>
      </c>
      <c r="K45">
        <f>Close!K45/Close!K44-1</f>
        <v>2.4364582756519759E-4</v>
      </c>
      <c r="L45">
        <f>Close!L45/Close!L44-1</f>
        <v>2.8139572278500502E-3</v>
      </c>
    </row>
    <row r="46" spans="1:12" ht="12.75" customHeight="1">
      <c r="A46" s="29" t="str">
        <f>Close!A46</f>
        <v>17/11/23</v>
      </c>
      <c r="B46">
        <f>Close!B46/Close!B45-1</f>
        <v>2.9546030940907908E-2</v>
      </c>
      <c r="C46">
        <f>Close!C46/Close!C45-1</f>
        <v>-3.8593991212445555E-3</v>
      </c>
      <c r="D46">
        <f>Close!D46/Close!D45-1</f>
        <v>5.2970981114692783E-3</v>
      </c>
      <c r="E46">
        <f>Close!E46/Close!E45-1</f>
        <v>-1.5661311508539111E-3</v>
      </c>
      <c r="F46">
        <f>Close!F46/Close!F45-1</f>
        <v>1.4264597191426365E-2</v>
      </c>
      <c r="G46">
        <f>Close!G46/Close!G45-1</f>
        <v>-2.5903421810041571E-2</v>
      </c>
      <c r="H46">
        <f>Close!H46/Close!H45-1</f>
        <v>-1.1816192560174521E-3</v>
      </c>
      <c r="I46">
        <f>Close!I46/Close!I45-1</f>
        <v>2.0703933747412417E-3</v>
      </c>
      <c r="J46">
        <f>Close!J46/Close!J45-1</f>
        <v>6.4711261166210399E-3</v>
      </c>
      <c r="K46">
        <f>Close!K46/Close!K45-1</f>
        <v>5.3589025321920669E-3</v>
      </c>
      <c r="L46">
        <f>Close!L46/Close!L45-1</f>
        <v>8.6587027980435938E-3</v>
      </c>
    </row>
    <row r="47" spans="1:12" ht="12.75" customHeight="1">
      <c r="A47" s="29" t="str">
        <f>Close!A47</f>
        <v>20/11/23</v>
      </c>
      <c r="B47">
        <f>Close!B47/Close!B46-1</f>
        <v>1.9214188939524535E-2</v>
      </c>
      <c r="C47">
        <f>Close!C47/Close!C46-1</f>
        <v>3.3379030815998689E-3</v>
      </c>
      <c r="D47">
        <f>Close!D47/Close!D46-1</f>
        <v>-4.9828178694157899E-3</v>
      </c>
      <c r="E47">
        <f>Close!E47/Close!E46-1</f>
        <v>-2.0239842129221586E-4</v>
      </c>
      <c r="F47">
        <f>Close!F47/Close!F46-1</f>
        <v>-7.7971289076732564E-3</v>
      </c>
      <c r="G47">
        <f>Close!G47/Close!G46-1</f>
        <v>-3.9395929087327586E-2</v>
      </c>
      <c r="H47">
        <f>Close!H47/Close!H46-1</f>
        <v>-3.075844542785755E-3</v>
      </c>
      <c r="I47">
        <f>Close!I47/Close!I46-1</f>
        <v>2.137980596478628E-2</v>
      </c>
      <c r="J47">
        <f>Close!J47/Close!J46-1</f>
        <v>4.1232790551402054E-3</v>
      </c>
      <c r="K47">
        <f>Close!K47/Close!K46-1</f>
        <v>-2.3579035473177634E-2</v>
      </c>
      <c r="L47">
        <f>Close!L47/Close!L46-1</f>
        <v>-1.3194499642317781E-2</v>
      </c>
    </row>
    <row r="48" spans="1:12" ht="12.75" customHeight="1">
      <c r="A48" s="29" t="str">
        <f>Close!A48</f>
        <v>21/11/23</v>
      </c>
      <c r="B48">
        <f>Close!B48/Close!B47-1</f>
        <v>-7.3716012084592553E-3</v>
      </c>
      <c r="C48">
        <f>Close!C48/Close!C47-1</f>
        <v>-5.5842689954256342E-3</v>
      </c>
      <c r="D48">
        <f>Close!D48/Close!D47-1</f>
        <v>5.0077706786393339E-3</v>
      </c>
      <c r="E48">
        <f>Close!E48/Close!E47-1</f>
        <v>4.453666683536639E-3</v>
      </c>
      <c r="F48">
        <f>Close!F48/Close!F47-1</f>
        <v>-3.8631022326675035E-3</v>
      </c>
      <c r="G48">
        <f>Close!G48/Close!G47-1</f>
        <v>4.4429254955571373E-3</v>
      </c>
      <c r="H48">
        <f>Close!H48/Close!H47-1</f>
        <v>6.7683977356634006E-3</v>
      </c>
      <c r="I48">
        <f>Close!I48/Close!I47-1</f>
        <v>4.3975373790683392E-4</v>
      </c>
      <c r="J48">
        <f>Close!J48/Close!J47-1</f>
        <v>-8.3518930957682258E-4</v>
      </c>
      <c r="K48">
        <f>Close!K48/Close!K47-1</f>
        <v>-2.5152267087751312E-3</v>
      </c>
      <c r="L48">
        <f>Close!L48/Close!L47-1</f>
        <v>1.208215867901874E-3</v>
      </c>
    </row>
    <row r="49" spans="1:1" ht="12.75" customHeight="1">
      <c r="A49" s="29"/>
    </row>
    <row r="50" spans="1:1" ht="12.75" customHeight="1">
      <c r="A50" s="29"/>
    </row>
    <row r="51" spans="1:1" ht="12.75" customHeight="1">
      <c r="A51" s="29"/>
    </row>
    <row r="52" spans="1:1" ht="12.75" customHeight="1">
      <c r="A52" s="29"/>
    </row>
    <row r="53" spans="1:1" ht="12.75" customHeight="1">
      <c r="A53" s="29"/>
    </row>
    <row r="54" spans="1:1" ht="12.75" customHeight="1">
      <c r="A54" s="29"/>
    </row>
    <row r="55" spans="1:1" ht="12.75" customHeight="1">
      <c r="A55" s="29"/>
    </row>
    <row r="56" spans="1:1" ht="12.75" customHeight="1">
      <c r="A56" s="29"/>
    </row>
    <row r="57" spans="1:1" ht="12.75" customHeight="1">
      <c r="A57" s="29"/>
    </row>
    <row r="58" spans="1:1" ht="12.75" customHeight="1">
      <c r="A58" s="29"/>
    </row>
    <row r="59" spans="1:1" ht="12.75" customHeight="1">
      <c r="A59" s="29"/>
    </row>
    <row r="60" spans="1:1" ht="12.75" customHeight="1">
      <c r="A60" s="29"/>
    </row>
    <row r="61" spans="1:1" ht="12.75" customHeight="1">
      <c r="A61" s="29"/>
    </row>
    <row r="62" spans="1:1" ht="12.75" customHeight="1">
      <c r="A62" s="29"/>
    </row>
    <row r="63" spans="1:1" ht="12.75" customHeight="1">
      <c r="A63" s="29"/>
    </row>
    <row r="64" spans="1:1" ht="12.75" customHeight="1">
      <c r="A64" s="29"/>
    </row>
    <row r="65" spans="1:1" ht="12.75" customHeight="1">
      <c r="A65" s="29"/>
    </row>
    <row r="66" spans="1:1" ht="12.75" customHeight="1">
      <c r="A66" s="29"/>
    </row>
    <row r="67" spans="1:1" ht="12.75" customHeight="1">
      <c r="A67" s="29"/>
    </row>
    <row r="68" spans="1:1" ht="12.75" customHeight="1">
      <c r="A68" s="29"/>
    </row>
    <row r="69" spans="1:1" ht="12.75" customHeight="1">
      <c r="A69" s="29"/>
    </row>
    <row r="70" spans="1:1" ht="12.75" customHeight="1">
      <c r="A70" s="29"/>
    </row>
    <row r="71" spans="1:1" ht="12.75" customHeight="1"/>
    <row r="72" spans="1:1" ht="12.75" customHeight="1"/>
    <row r="73" spans="1:1" ht="12.75" customHeight="1"/>
    <row r="74" spans="1:1" ht="12.75" customHeight="1"/>
    <row r="75" spans="1:1" ht="12.75" customHeight="1"/>
    <row r="76" spans="1:1" ht="12.75" customHeight="1"/>
    <row r="77" spans="1:1" ht="12.75" customHeight="1"/>
    <row r="78" spans="1:1" ht="12.75" customHeight="1"/>
    <row r="79" spans="1:1" ht="12.75" customHeight="1"/>
    <row r="80" spans="1:1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ageMargins left="0.7" right="0.7" top="0.75" bottom="0.75" header="0" footer="0"/>
  <pageSetup orientation="landscape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/>
  <dimension ref="A1:N1000"/>
  <sheetViews>
    <sheetView workbookViewId="0">
      <selection activeCell="M3" sqref="M3"/>
    </sheetView>
  </sheetViews>
  <sheetFormatPr defaultColWidth="14.4609375" defaultRowHeight="15" customHeight="1"/>
  <cols>
    <col min="1" max="1" width="15.4609375" customWidth="1"/>
    <col min="2" max="3" width="12.4609375" bestFit="1" customWidth="1"/>
    <col min="4" max="4" width="11.84375" bestFit="1" customWidth="1"/>
    <col min="5" max="6" width="12.4609375" bestFit="1" customWidth="1"/>
    <col min="7" max="7" width="11.84375" bestFit="1" customWidth="1"/>
    <col min="8" max="8" width="12.4609375" bestFit="1" customWidth="1"/>
    <col min="9" max="9" width="12.07421875" bestFit="1" customWidth="1"/>
    <col min="10" max="26" width="8.53515625" customWidth="1"/>
  </cols>
  <sheetData>
    <row r="1" spans="1:14" ht="12.75" customHeight="1">
      <c r="A1">
        <v>1000000</v>
      </c>
      <c r="M1" t="s">
        <v>13</v>
      </c>
    </row>
    <row r="2" spans="1:14" ht="12.75" customHeight="1">
      <c r="A2" s="28" t="str">
        <f>Close!A1</f>
        <v>&lt;DATE&gt;</v>
      </c>
      <c r="B2" s="32" t="str">
        <f>Close!B1</f>
        <v>BR-12.23 [FORTS]</v>
      </c>
      <c r="C2" s="32" t="str">
        <f>Close!C1</f>
        <v>GAZR-12.23 [FORTS]</v>
      </c>
      <c r="D2" s="32" t="str">
        <f>Close!D1</f>
        <v>GMKN-12.23 [FORTS]</v>
      </c>
      <c r="E2" s="32" t="str">
        <f>Close!E1</f>
        <v>GOLD-12.23 [FORTS]</v>
      </c>
      <c r="F2" s="32" t="str">
        <f>Close!F1</f>
        <v>LKOH-12.23 [FORTS]</v>
      </c>
      <c r="G2" s="32" t="str">
        <f>Close!G1</f>
        <v>NG-11.23 [FORTS]</v>
      </c>
      <c r="H2" s="32" t="str">
        <f>Close!H1</f>
        <v>PLZL-12.23 [FORTS]</v>
      </c>
      <c r="I2" s="32" t="str">
        <f>Close!I1</f>
        <v>RTS-12.23 [FORTS]</v>
      </c>
      <c r="J2" s="32" t="str">
        <f>Close!J1</f>
        <v>SBRF-12.23 [FORTS]</v>
      </c>
      <c r="K2" s="32" t="str">
        <f>Close!K1</f>
        <v>Si-12.23 [FORTS]</v>
      </c>
      <c r="L2" s="32" t="str">
        <f>Close!L1</f>
        <v>CNY-12.23 [FORTS]</v>
      </c>
      <c r="M2" s="32"/>
    </row>
    <row r="3" spans="1:14" ht="12.75" customHeight="1">
      <c r="A3" t="s">
        <v>14</v>
      </c>
      <c r="B3">
        <v>0.1</v>
      </c>
      <c r="C3">
        <v>0.1</v>
      </c>
      <c r="D3">
        <v>0.1</v>
      </c>
      <c r="E3">
        <v>0.1</v>
      </c>
      <c r="F3">
        <v>0.1</v>
      </c>
      <c r="G3">
        <v>0.1</v>
      </c>
      <c r="H3">
        <v>0.1</v>
      </c>
      <c r="I3">
        <v>0.1</v>
      </c>
      <c r="J3">
        <v>0.1</v>
      </c>
      <c r="K3">
        <v>0.05</v>
      </c>
      <c r="L3">
        <v>0.05</v>
      </c>
    </row>
    <row r="4" spans="1:14" ht="12.75" customHeight="1">
      <c r="A4" t="s">
        <v>15</v>
      </c>
      <c r="B4" s="33">
        <f>SUM(ABS(B3))</f>
        <v>0.1</v>
      </c>
      <c r="C4" s="33">
        <f t="shared" ref="C4:L4" si="0">ABS(C3)</f>
        <v>0.1</v>
      </c>
      <c r="D4" s="33">
        <f t="shared" si="0"/>
        <v>0.1</v>
      </c>
      <c r="E4" s="33">
        <f t="shared" si="0"/>
        <v>0.1</v>
      </c>
      <c r="F4" s="33">
        <f t="shared" si="0"/>
        <v>0.1</v>
      </c>
      <c r="G4" s="33">
        <f t="shared" si="0"/>
        <v>0.1</v>
      </c>
      <c r="H4" s="33">
        <f t="shared" si="0"/>
        <v>0.1</v>
      </c>
      <c r="I4" s="33">
        <f t="shared" si="0"/>
        <v>0.1</v>
      </c>
      <c r="J4" s="33">
        <f t="shared" si="0"/>
        <v>0.1</v>
      </c>
      <c r="K4" s="33">
        <f t="shared" si="0"/>
        <v>0.05</v>
      </c>
      <c r="L4" s="33">
        <f t="shared" si="0"/>
        <v>0.05</v>
      </c>
      <c r="M4" s="33" cm="1">
        <f t="array" ref="M4">SUM(ABS(B4:L4))</f>
        <v>1</v>
      </c>
      <c r="N4" s="33"/>
    </row>
    <row r="5" spans="1:14" ht="12.75" customHeight="1">
      <c r="A5" s="33" t="s">
        <v>16</v>
      </c>
      <c r="B5" s="33">
        <v>-1</v>
      </c>
      <c r="C5" s="33">
        <v>-1</v>
      </c>
      <c r="D5" s="33">
        <v>-1</v>
      </c>
      <c r="E5" s="33">
        <v>-1</v>
      </c>
      <c r="F5" s="33">
        <v>-1</v>
      </c>
      <c r="G5" s="33">
        <v>-1</v>
      </c>
      <c r="H5" s="33">
        <v>-1</v>
      </c>
      <c r="I5" s="33">
        <v>-1</v>
      </c>
      <c r="J5" s="33">
        <v>-1</v>
      </c>
      <c r="K5" s="33">
        <v>-1</v>
      </c>
      <c r="L5" s="33">
        <v>-1</v>
      </c>
    </row>
    <row r="6" spans="1:14" ht="12.75" customHeight="1">
      <c r="A6" s="33" t="s">
        <v>17</v>
      </c>
      <c r="B6" s="33">
        <v>1</v>
      </c>
      <c r="C6" s="33">
        <v>1</v>
      </c>
      <c r="D6" s="33">
        <v>1</v>
      </c>
      <c r="E6" s="33">
        <v>1</v>
      </c>
      <c r="F6" s="33">
        <v>1</v>
      </c>
      <c r="G6" s="33">
        <v>1</v>
      </c>
      <c r="H6" s="33">
        <v>1</v>
      </c>
      <c r="I6" s="33">
        <v>1</v>
      </c>
      <c r="J6" s="33">
        <v>1</v>
      </c>
      <c r="K6" s="33">
        <v>1</v>
      </c>
      <c r="L6" s="33">
        <v>1</v>
      </c>
    </row>
    <row r="7" spans="1:14" ht="12.75" customHeight="1">
      <c r="A7" t="s">
        <v>18</v>
      </c>
      <c r="B7">
        <f t="shared" ref="B7:L7" si="1">B3*$A$1</f>
        <v>100000</v>
      </c>
      <c r="C7">
        <f t="shared" si="1"/>
        <v>100000</v>
      </c>
      <c r="D7">
        <f t="shared" si="1"/>
        <v>100000</v>
      </c>
      <c r="E7">
        <f t="shared" si="1"/>
        <v>100000</v>
      </c>
      <c r="F7">
        <f t="shared" si="1"/>
        <v>100000</v>
      </c>
      <c r="G7">
        <f t="shared" si="1"/>
        <v>100000</v>
      </c>
      <c r="H7">
        <f t="shared" si="1"/>
        <v>100000</v>
      </c>
      <c r="I7">
        <f t="shared" si="1"/>
        <v>100000</v>
      </c>
      <c r="J7">
        <f t="shared" si="1"/>
        <v>100000</v>
      </c>
      <c r="K7">
        <f t="shared" si="1"/>
        <v>50000</v>
      </c>
      <c r="L7">
        <f t="shared" si="1"/>
        <v>50000</v>
      </c>
    </row>
    <row r="8" spans="1:14" ht="12.75" customHeight="1">
      <c r="A8" t="s">
        <v>19</v>
      </c>
      <c r="B8">
        <f>B7/Close!B46/88.4</f>
        <v>13.933017852654434</v>
      </c>
      <c r="C8">
        <f>C7/Close!C46</f>
        <v>5.9605412171425165</v>
      </c>
      <c r="D8">
        <f>D7/Close!D46</f>
        <v>5.72737686139748</v>
      </c>
      <c r="E8">
        <f>E7/Close!E46/88.4</f>
        <v>0.57239372537419086</v>
      </c>
      <c r="F8">
        <f>F7/Close!F46</f>
        <v>1.4574072724622895</v>
      </c>
      <c r="G8">
        <f>G7/Close!G46*88.4/100000</f>
        <v>29.021667760998035</v>
      </c>
      <c r="H8">
        <f>H7/Close!H46</f>
        <v>0.87630898654865708</v>
      </c>
      <c r="I8">
        <f>I7/Close!I46</f>
        <v>0.89831117499101687</v>
      </c>
      <c r="J8">
        <f>J7/Close!J46</f>
        <v>3.4943042840170522</v>
      </c>
      <c r="K8">
        <f>K7/Close!K46</f>
        <v>0.55065472847215335</v>
      </c>
      <c r="L8">
        <f>L7/Close!L46</f>
        <v>3974.2468802161993</v>
      </c>
    </row>
    <row r="9" spans="1:14" ht="12.75" customHeight="1">
      <c r="A9" t="s">
        <v>20</v>
      </c>
      <c r="B9">
        <v>0.95</v>
      </c>
    </row>
    <row r="10" spans="1:14" ht="12.75" customHeight="1">
      <c r="A10" t="s">
        <v>21</v>
      </c>
      <c r="B10">
        <f>AVERAGE(portfolioPrice!B2:B46)</f>
        <v>-318.03331179935554</v>
      </c>
      <c r="C10">
        <f>AVERAGE(portfolioPrice!C2:C46)</f>
        <v>-128.52310207754454</v>
      </c>
      <c r="D10">
        <f>AVERAGE(portfolioPrice!D2:D46)</f>
        <v>115.32150199435445</v>
      </c>
      <c r="E10">
        <f>AVERAGE(portfolioPrice!E2:E46)</f>
        <v>-1.2292680167451309</v>
      </c>
      <c r="F10">
        <f>AVERAGE(portfolioPrice!F2:F46)</f>
        <v>105.54104957066967</v>
      </c>
      <c r="G10">
        <f>AVERAGE(portfolioPrice!G2:G46)</f>
        <v>-1670.9629459324744</v>
      </c>
      <c r="H10">
        <f>AVERAGE(portfolioPrice!H2:H46)</f>
        <v>-131.24732654928559</v>
      </c>
      <c r="I10">
        <f>AVERAGE(portfolioPrice!I2:I46)</f>
        <v>153.16975584061731</v>
      </c>
      <c r="J10">
        <f>AVERAGE(portfolioPrice!J2:J46)</f>
        <v>144.38267466362393</v>
      </c>
      <c r="K10">
        <f>AVERAGE(portfolioPrice!K2:K46)</f>
        <v>-48.123549328797409</v>
      </c>
      <c r="L10">
        <f>AVERAGE(portfolioPrice!L2:L46)</f>
        <v>-77.956457375691599</v>
      </c>
      <c r="M10">
        <f>AVERAGE(portfolioPrice!M2:M46)</f>
        <v>-1857.660979010629</v>
      </c>
    </row>
    <row r="11" spans="1:14" ht="12.75" customHeight="1">
      <c r="A11" t="s">
        <v>22</v>
      </c>
      <c r="B11">
        <f>STDEV(portfolioPrice!B2:B46)</f>
        <v>1912.8543128347881</v>
      </c>
      <c r="C11">
        <f>STDEV(portfolioPrice!C2:C46)</f>
        <v>843.91460678985413</v>
      </c>
      <c r="D11">
        <f>STDEV(portfolioPrice!D2:D46)</f>
        <v>892.11747248316897</v>
      </c>
      <c r="E11">
        <f>STDEV(portfolioPrice!E2:E46)</f>
        <v>773.94445933894121</v>
      </c>
      <c r="F11">
        <f>STDEV(portfolioPrice!F2:F46)</f>
        <v>1182.252399101757</v>
      </c>
      <c r="G11">
        <f>STDEV(portfolioPrice!G2:G46)</f>
        <v>18966.913633732536</v>
      </c>
      <c r="H11">
        <f>STDEV(portfolioPrice!H2:H46)</f>
        <v>1067.7789954941572</v>
      </c>
      <c r="I11">
        <f>STDEV(portfolioPrice!I2:I46)</f>
        <v>1097.4818513404896</v>
      </c>
      <c r="J11">
        <f>STDEV(portfolioPrice!J2:J46)</f>
        <v>1070.3333959716424</v>
      </c>
      <c r="K11">
        <f>STDEV(portfolioPrice!K2:K46)</f>
        <v>511.00552830103555</v>
      </c>
      <c r="L11">
        <f>STDEV(portfolioPrice!L2:L46)</f>
        <v>461.45181054266254</v>
      </c>
      <c r="M11">
        <f>STDEV(portfolioPrice!M2:M46)</f>
        <v>19383.115942463584</v>
      </c>
    </row>
    <row r="12" spans="1:14" ht="12.75" customHeight="1">
      <c r="A12" t="s">
        <v>23</v>
      </c>
      <c r="B12" s="34">
        <f t="shared" ref="B12:M12" si="2">-NORMINV(1-$B$9,B10,B11)</f>
        <v>3464.3986660954215</v>
      </c>
      <c r="C12" s="34">
        <f>-NORMINV(1-$B$9,C10,C11)</f>
        <v>1516.6391038931611</v>
      </c>
      <c r="D12" s="34">
        <f t="shared" si="2"/>
        <v>1352.0811582863655</v>
      </c>
      <c r="E12" s="34">
        <f t="shared" si="2"/>
        <v>1274.2546190193984</v>
      </c>
      <c r="F12" s="34">
        <f t="shared" si="2"/>
        <v>1839.0910970639338</v>
      </c>
      <c r="G12" s="34">
        <f t="shared" si="2"/>
        <v>32868.759628452746</v>
      </c>
      <c r="H12" s="34">
        <f t="shared" si="2"/>
        <v>1887.5874800704491</v>
      </c>
      <c r="I12" s="34">
        <f t="shared" si="2"/>
        <v>1652.0272478502025</v>
      </c>
      <c r="J12" s="34">
        <f t="shared" si="2"/>
        <v>1616.1590937476176</v>
      </c>
      <c r="K12" s="34">
        <f t="shared" si="2"/>
        <v>888.65284594700847</v>
      </c>
      <c r="L12" s="34">
        <f t="shared" si="2"/>
        <v>836.97714161011334</v>
      </c>
      <c r="M12" s="34">
        <f t="shared" si="2"/>
        <v>33740.049538592742</v>
      </c>
    </row>
    <row r="13" spans="1:14" ht="12.75" customHeight="1">
      <c r="A13" t="s">
        <v>24</v>
      </c>
      <c r="B13">
        <v>0.1</v>
      </c>
      <c r="C13">
        <v>0.1</v>
      </c>
      <c r="D13">
        <v>0.1</v>
      </c>
      <c r="E13">
        <v>0.1</v>
      </c>
      <c r="F13">
        <v>0.1</v>
      </c>
      <c r="G13">
        <v>0.1</v>
      </c>
      <c r="H13">
        <v>0.1</v>
      </c>
      <c r="I13">
        <v>0.1</v>
      </c>
      <c r="J13">
        <v>0.1</v>
      </c>
      <c r="K13">
        <v>0.05</v>
      </c>
      <c r="L13">
        <v>0.05</v>
      </c>
    </row>
    <row r="14" spans="1:14" ht="12.75" customHeight="1">
      <c r="B14" s="43">
        <f>STDEV(Rates!B3:B45)</f>
        <v>1.8660343958307974E-2</v>
      </c>
      <c r="C14" s="43">
        <f>STDEV(Rates!C3:C45)</f>
        <v>8.5295628354824082E-3</v>
      </c>
      <c r="D14" s="43">
        <f>STDEV(Rates!D3:D45)</f>
        <v>9.0035512884471744E-3</v>
      </c>
      <c r="E14" s="43">
        <f>STDEV(Rates!E3:E45)</f>
        <v>7.8240042615216263E-3</v>
      </c>
      <c r="F14" s="43">
        <f>STDEV(Rates!F3:F45)</f>
        <v>1.1783421377319551E-2</v>
      </c>
      <c r="G14" s="43">
        <f>STDEV(Rates!G3:G45)</f>
        <v>2.4266315615975028E-2</v>
      </c>
      <c r="H14" s="43">
        <f>STDEV(Rates!H3:H45)</f>
        <v>1.0804139425926184E-2</v>
      </c>
      <c r="I14" s="43">
        <f>STDEV(Rates!I3:I45)</f>
        <v>1.1104384203282178E-2</v>
      </c>
      <c r="J14" s="43">
        <f>STDEV(Rates!J3:J45)</f>
        <v>1.0801539669088962E-2</v>
      </c>
      <c r="K14" s="43">
        <f>STDEV(Rates!K3:K45)</f>
        <v>1.0293883203643951E-2</v>
      </c>
      <c r="L14" s="43">
        <f>STDEV(Rates!L3:L45)</f>
        <v>9.2010579252507115E-3</v>
      </c>
    </row>
    <row r="15" spans="1:14" ht="12.75" customHeight="1">
      <c r="B15">
        <v>0</v>
      </c>
      <c r="C15">
        <v>0</v>
      </c>
      <c r="D15">
        <v>0.3</v>
      </c>
      <c r="E15">
        <v>0</v>
      </c>
      <c r="F15">
        <v>0</v>
      </c>
      <c r="G15">
        <v>0.3</v>
      </c>
      <c r="H15">
        <v>0</v>
      </c>
      <c r="I15">
        <v>0</v>
      </c>
      <c r="J15">
        <v>0</v>
      </c>
      <c r="K15">
        <v>0</v>
      </c>
      <c r="L15">
        <v>-0.4</v>
      </c>
    </row>
    <row r="16" spans="1:14" ht="12.75" customHeight="1"/>
    <row r="17" spans="2:2" ht="12.75" customHeight="1">
      <c r="B17">
        <f>M10</f>
        <v>-1857.660979010629</v>
      </c>
    </row>
    <row r="18" spans="2:2" ht="12.75" customHeight="1">
      <c r="B18">
        <f>M11</f>
        <v>19383.115942463584</v>
      </c>
    </row>
    <row r="19" spans="2:2" ht="12.75" customHeight="1"/>
    <row r="20" spans="2:2" ht="12.75" customHeight="1"/>
    <row r="21" spans="2:2" ht="12.75" customHeight="1"/>
    <row r="22" spans="2:2" ht="12.75" customHeight="1"/>
    <row r="23" spans="2:2" ht="12.75" customHeight="1"/>
    <row r="24" spans="2:2" ht="12.75" customHeight="1"/>
    <row r="25" spans="2:2" ht="12.75" customHeight="1"/>
    <row r="26" spans="2:2" ht="12.75" customHeight="1"/>
    <row r="27" spans="2:2" ht="12.75" customHeight="1"/>
    <row r="28" spans="2:2" ht="12.75" customHeight="1"/>
    <row r="29" spans="2:2" ht="12.75" customHeight="1"/>
    <row r="30" spans="2:2" ht="12.75" customHeight="1"/>
    <row r="31" spans="2:2" ht="12.75" customHeight="1"/>
    <row r="32" spans="2:2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ageMargins left="0.7" right="0.7" top="0.75" bottom="0.75" header="0" footer="0"/>
  <pageSetup paperSize="9" orientation="portrait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/>
  <dimension ref="A1:N1000"/>
  <sheetViews>
    <sheetView workbookViewId="0">
      <selection activeCell="L2" sqref="L2"/>
    </sheetView>
  </sheetViews>
  <sheetFormatPr defaultColWidth="14.4609375" defaultRowHeight="15" customHeight="1"/>
  <cols>
    <col min="1" max="1" width="10.15234375" customWidth="1"/>
    <col min="2" max="2" width="14.4609375" customWidth="1"/>
    <col min="3" max="3" width="12.53515625" customWidth="1"/>
    <col min="4" max="4" width="11.4609375" customWidth="1"/>
    <col min="5" max="5" width="8.53515625" customWidth="1"/>
    <col min="6" max="6" width="12.15234375" customWidth="1"/>
    <col min="7" max="7" width="11.53515625" customWidth="1"/>
    <col min="8" max="8" width="12" customWidth="1"/>
    <col min="9" max="9" width="12.53515625" customWidth="1"/>
    <col min="10" max="10" width="12.84375" customWidth="1"/>
    <col min="11" max="11" width="13.4609375" customWidth="1"/>
    <col min="12" max="12" width="17.53515625" customWidth="1"/>
    <col min="13" max="13" width="9.15234375" customWidth="1"/>
    <col min="14" max="26" width="8.53515625" customWidth="1"/>
  </cols>
  <sheetData>
    <row r="1" spans="1:14" ht="12.75" customHeight="1">
      <c r="B1" t="str">
        <f>Close!B1</f>
        <v>BR-12.23 [FORTS]</v>
      </c>
      <c r="C1" t="str">
        <f>Close!C1</f>
        <v>GAZR-12.23 [FORTS]</v>
      </c>
      <c r="D1" t="str">
        <f>Close!D1</f>
        <v>GMKN-12.23 [FORTS]</v>
      </c>
      <c r="E1" t="str">
        <f>Close!E1</f>
        <v>GOLD-12.23 [FORTS]</v>
      </c>
      <c r="F1" t="str">
        <f>Close!F1</f>
        <v>LKOH-12.23 [FORTS]</v>
      </c>
      <c r="G1" t="str">
        <f>Close!G1</f>
        <v>NG-11.23 [FORTS]</v>
      </c>
      <c r="H1" t="str">
        <f>Close!H1</f>
        <v>PLZL-12.23 [FORTS]</v>
      </c>
      <c r="I1" t="str">
        <f>Close!I1</f>
        <v>RTS-12.23 [FORTS]</v>
      </c>
      <c r="J1" t="str">
        <f>Close!J1</f>
        <v>SBRF-12.23 [FORTS]</v>
      </c>
      <c r="K1" t="str">
        <f>Close!K1</f>
        <v>Si-12.23 [FORTS]</v>
      </c>
      <c r="L1" t="str">
        <f>Close!L1</f>
        <v>CNY-12.23 [FORTS]</v>
      </c>
      <c r="M1" s="30" t="s">
        <v>4</v>
      </c>
    </row>
    <row r="2" spans="1:14" ht="12.75" customHeight="1">
      <c r="A2" s="25" t="str">
        <f>Close!A2</f>
        <v>18/09/23</v>
      </c>
      <c r="B2">
        <f>Markowiz!B$8*Close!B$46*Rates!B3*Close!$K$48/1000</f>
        <v>-106.26923221119134</v>
      </c>
      <c r="C2">
        <f>Markowiz!C$8*Close!C$46*Rates!C3</f>
        <v>-1889.6574995782012</v>
      </c>
      <c r="D2">
        <f>Markowiz!D$8*Close!D$46*Rates!D3</f>
        <v>-1624.060150375939</v>
      </c>
      <c r="E2">
        <f>Markowiz!E$8*Close!E$46*Rates!E3*Close!$K$48/1000</f>
        <v>-308.2253228658459</v>
      </c>
      <c r="F2">
        <f>Markowiz!F$8*Close!F$46*Rates!F3</f>
        <v>-2207.0015220700179</v>
      </c>
      <c r="G2">
        <f>Markowiz!G$8*Close!G$46*Rates!G3*Close!$K$48/10</f>
        <v>3690.9204131011479</v>
      </c>
      <c r="H2">
        <f>Markowiz!H$8*Close!H$46*Rates!H3</f>
        <v>-2749.9546212108708</v>
      </c>
      <c r="I2">
        <f>Markowiz!I$8*Close!I$46*Rates!I3</f>
        <v>-2281.0044086639782</v>
      </c>
      <c r="J2">
        <f>Markowiz!J$8*Close!J$46*Rates!J3</f>
        <v>-2874.7585797058382</v>
      </c>
      <c r="K2">
        <f>Markowiz!K$8*Close!K$46*Rates!K3</f>
        <v>287.00826794459954</v>
      </c>
      <c r="L2">
        <f>Markowiz!L$8*Close!L$46*Rates!L3</f>
        <v>103.70370370370586</v>
      </c>
      <c r="M2" s="30">
        <f t="shared" ref="M2:M45" si="0">SUM(B2:L2)</f>
        <v>-9959.298951932431</v>
      </c>
      <c r="N2">
        <f>_xlfn.STDEV.S(M2:M44)</f>
        <v>19513.858034061792</v>
      </c>
    </row>
    <row r="3" spans="1:14" ht="12.75" customHeight="1">
      <c r="A3" s="25" t="str">
        <f>Close!A3</f>
        <v>19/09/23</v>
      </c>
      <c r="B3">
        <f>Markowiz!B$8*Close!B$46*Rates!B4*Close!$K$48/1000</f>
        <v>-1085.0988122893839</v>
      </c>
      <c r="C3">
        <f>Markowiz!C$8*Close!C$46*Rates!C4</f>
        <v>733.73459443966112</v>
      </c>
      <c r="D3">
        <f>Markowiz!D$8*Close!D$46*Rates!D4</f>
        <v>1198.4102720880462</v>
      </c>
      <c r="E3">
        <f>Markowiz!E$8*Close!E$46*Rates!E4*Close!$K$48/1000</f>
        <v>-425.75315822798012</v>
      </c>
      <c r="F3">
        <f>Markowiz!F$8*Close!F$46*Rates!F4</f>
        <v>2076.2645914396803</v>
      </c>
      <c r="G3">
        <f>Markowiz!G$8*Close!G$46*Rates!G4*Close!$K$48/10</f>
        <v>-20663.869955947124</v>
      </c>
      <c r="H3">
        <f>Markowiz!H$8*Close!H$46*Rates!H4</f>
        <v>191.73828572398577</v>
      </c>
      <c r="I3">
        <f>Markowiz!I$8*Close!I$46*Rates!I4</f>
        <v>1294.6253432718713</v>
      </c>
      <c r="J3">
        <f>Markowiz!J$8*Close!J$46*Rates!J4</f>
        <v>898.66156787763441</v>
      </c>
      <c r="K3">
        <f>Markowiz!K$8*Close!K$46*Rates!K4</f>
        <v>-434.60048172583311</v>
      </c>
      <c r="L3">
        <f>Markowiz!L$8*Close!L$46*Rates!L4</f>
        <v>-317.85925487877176</v>
      </c>
      <c r="M3" s="30">
        <f t="shared" si="0"/>
        <v>-16533.747008228216</v>
      </c>
    </row>
    <row r="4" spans="1:14" ht="12.75" customHeight="1">
      <c r="A4" s="25" t="str">
        <f>Close!A4</f>
        <v>20/09/23</v>
      </c>
      <c r="B4">
        <f>Markowiz!B$8*Close!B$46*Rates!B5*Close!$K$48/1000</f>
        <v>-150.5682619706123</v>
      </c>
      <c r="C4">
        <f>Markowiz!C$8*Close!C$46*Rates!C5</f>
        <v>-2111.1933079155488</v>
      </c>
      <c r="D4">
        <f>Markowiz!D$8*Close!D$46*Rates!D5</f>
        <v>-676.69627212857404</v>
      </c>
      <c r="E4">
        <f>Markowiz!E$8*Close!E$46*Rates!E5*Close!$K$48/1000</f>
        <v>-656.62965916694168</v>
      </c>
      <c r="F4">
        <f>Markowiz!F$8*Close!F$46*Rates!F5</f>
        <v>-375.09148572822949</v>
      </c>
      <c r="G4">
        <f>Markowiz!G$8*Close!G$46*Rates!G5*Close!$K$48/10</f>
        <v>-15329.079999999947</v>
      </c>
      <c r="H4">
        <f>Markowiz!H$8*Close!H$46*Rates!H5</f>
        <v>-1962.8265379567299</v>
      </c>
      <c r="I4">
        <f>Markowiz!I$8*Close!I$46*Rates!I5</f>
        <v>-1810.6119287374156</v>
      </c>
      <c r="J4">
        <f>Markowiz!J$8*Close!J$46*Rates!J5</f>
        <v>-1845.7456888383517</v>
      </c>
      <c r="K4">
        <f>Markowiz!K$8*Close!K$46*Rates!K5</f>
        <v>324.31861398689585</v>
      </c>
      <c r="L4">
        <f>Markowiz!L$8*Close!L$46*Rates!L5</f>
        <v>-156.22675197143332</v>
      </c>
      <c r="M4" s="30">
        <f t="shared" si="0"/>
        <v>-24750.35128042689</v>
      </c>
    </row>
    <row r="5" spans="1:14" ht="12.75" customHeight="1">
      <c r="A5" s="25" t="str">
        <f>Close!A5</f>
        <v>21/09/23</v>
      </c>
      <c r="B5">
        <f>Markowiz!B$8*Close!B$46*Rates!B6*Close!$K$48/1000</f>
        <v>-21.542173816454426</v>
      </c>
      <c r="C5">
        <f>Markowiz!C$8*Close!C$46*Rates!C6</f>
        <v>337.17009650040541</v>
      </c>
      <c r="D5">
        <f>Markowiz!D$8*Close!D$46*Rates!D6</f>
        <v>-845.55021594987511</v>
      </c>
      <c r="E5">
        <f>Markowiz!E$8*Close!E$46*Rates!E6*Close!$K$48/1000</f>
        <v>5.1237825968551141</v>
      </c>
      <c r="F5">
        <f>Markowiz!F$8*Close!F$46*Rates!F6</f>
        <v>1980.4707826991842</v>
      </c>
      <c r="G5">
        <f>Markowiz!G$8*Close!G$46*Rates!G6*Close!$K$48/10</f>
        <v>6735.3619200000594</v>
      </c>
      <c r="H5">
        <f>Markowiz!H$8*Close!H$46*Rates!H6</f>
        <v>-1512.3901983986498</v>
      </c>
      <c r="I5">
        <f>Markowiz!I$8*Close!I$46*Rates!I6</f>
        <v>522.63090425006544</v>
      </c>
      <c r="J5">
        <f>Markowiz!J$8*Close!J$46*Rates!J6</f>
        <v>957.60290369912843</v>
      </c>
      <c r="K5">
        <f>Markowiz!K$8*Close!K$46*Rates!K6</f>
        <v>322.22851984802236</v>
      </c>
      <c r="L5">
        <f>Markowiz!L$8*Close!L$46*Rates!L6</f>
        <v>421.64179104476898</v>
      </c>
      <c r="M5" s="30">
        <f t="shared" si="0"/>
        <v>8902.7481124735095</v>
      </c>
    </row>
    <row r="6" spans="1:14" ht="12.75" customHeight="1">
      <c r="A6" s="25" t="str">
        <f>Close!A6</f>
        <v>22/09/23</v>
      </c>
      <c r="B6">
        <f>Markowiz!B$8*Close!B$46*Rates!B7*Close!$K$48/1000</f>
        <v>-711.04484637506368</v>
      </c>
      <c r="C6">
        <f>Markowiz!C$8*Close!C$46*Rates!C7</f>
        <v>-388.18076477404873</v>
      </c>
      <c r="D6">
        <f>Markowiz!D$8*Close!D$46*Rates!D7</f>
        <v>-613.49693251533392</v>
      </c>
      <c r="E6">
        <f>Markowiz!E$8*Close!E$46*Rates!E7*Close!$K$48/1000</f>
        <v>-194.6937671687794</v>
      </c>
      <c r="F6">
        <f>Markowiz!F$8*Close!F$46*Rates!F7</f>
        <v>-825.42922319606134</v>
      </c>
      <c r="G6">
        <f>Markowiz!G$8*Close!G$46*Rates!G7*Close!$K$48/10</f>
        <v>5962.34807809638</v>
      </c>
      <c r="H6">
        <f>Markowiz!H$8*Close!H$46*Rates!H7</f>
        <v>-748.95199340501154</v>
      </c>
      <c r="I6">
        <f>Markowiz!I$8*Close!I$46*Rates!I7</f>
        <v>-274.67137531881349</v>
      </c>
      <c r="J6">
        <f>Markowiz!J$8*Close!J$46*Rates!J7</f>
        <v>198.88319437006973</v>
      </c>
      <c r="K6">
        <f>Markowiz!K$8*Close!K$46*Rates!K7</f>
        <v>-13.557483731019282</v>
      </c>
      <c r="L6">
        <f>Markowiz!L$8*Close!L$46*Rates!L7</f>
        <v>-177.60674905646368</v>
      </c>
      <c r="M6" s="30">
        <f t="shared" si="0"/>
        <v>2213.5981369258548</v>
      </c>
    </row>
    <row r="7" spans="1:14" ht="12.75" customHeight="1">
      <c r="A7" s="25" t="str">
        <f>Close!A7</f>
        <v>25/09/23</v>
      </c>
      <c r="B7">
        <f>Markowiz!B$8*Close!B$46*Rates!B8*Close!$K$48/1000</f>
        <v>379.76843081633774</v>
      </c>
      <c r="C7">
        <f>Markowiz!C$8*Close!C$46*Rates!C8</f>
        <v>-209.38754144128603</v>
      </c>
      <c r="D7">
        <f>Markowiz!D$8*Close!D$46*Rates!D8</f>
        <v>-407.40740740741188</v>
      </c>
      <c r="E7">
        <f>Markowiz!E$8*Close!E$46*Rates!E8*Close!$K$48/1000</f>
        <v>-744.35904169359787</v>
      </c>
      <c r="F7">
        <f>Markowiz!F$8*Close!F$46*Rates!F8</f>
        <v>-1103.1748433764087</v>
      </c>
      <c r="G7">
        <f>Markowiz!G$8*Close!G$46*Rates!G8*Close!$K$48/10</f>
        <v>-13017.883560399539</v>
      </c>
      <c r="H7">
        <f>Markowiz!H$8*Close!H$46*Rates!H8</f>
        <v>-227.9715830770912</v>
      </c>
      <c r="I7">
        <f>Markowiz!I$8*Close!I$46*Rates!I8</f>
        <v>-304.93802872318952</v>
      </c>
      <c r="J7">
        <f>Markowiz!J$8*Close!J$46*Rates!J8</f>
        <v>1320.7115046950157</v>
      </c>
      <c r="K7">
        <f>Markowiz!K$8*Close!K$46*Rates!K8</f>
        <v>170.55767666019906</v>
      </c>
      <c r="L7">
        <f>Markowiz!L$8*Close!L$46*Rates!L8</f>
        <v>77.979948013373601</v>
      </c>
      <c r="M7" s="30">
        <f t="shared" si="0"/>
        <v>-14066.104445933597</v>
      </c>
    </row>
    <row r="8" spans="1:14" ht="12.75" customHeight="1">
      <c r="A8" s="25" t="str">
        <f>Close!A8</f>
        <v>26/09/23</v>
      </c>
      <c r="B8">
        <f>Markowiz!B$8*Close!B$46*Rates!B9*Close!$K$48/1000</f>
        <v>1459.2815183672437</v>
      </c>
      <c r="C8">
        <f>Markowiz!C$8*Close!C$46*Rates!C9</f>
        <v>145.71312000932755</v>
      </c>
      <c r="D8">
        <f>Markowiz!D$8*Close!D$46*Rates!D9</f>
        <v>1468.9475641502358</v>
      </c>
      <c r="E8">
        <f>Markowiz!E$8*Close!E$46*Rates!E9*Close!$K$48/1000</f>
        <v>-832.69082809195618</v>
      </c>
      <c r="F8">
        <f>Markowiz!F$8*Close!F$46*Rates!F9</f>
        <v>1522.5008798371853</v>
      </c>
      <c r="G8">
        <f>Markowiz!G$8*Close!G$46*Rates!G9*Close!$K$48/10</f>
        <v>6739.5093103447971</v>
      </c>
      <c r="H8">
        <f>Markowiz!H$8*Close!H$46*Rates!H9</f>
        <v>1403.7231875586808</v>
      </c>
      <c r="I8">
        <f>Markowiz!I$8*Close!I$46*Rates!I9</f>
        <v>493.33991119882012</v>
      </c>
      <c r="J8">
        <f>Markowiz!J$8*Close!J$46*Rates!J9</f>
        <v>56.509945750460311</v>
      </c>
      <c r="K8">
        <f>Markowiz!K$8*Close!K$46*Rates!K9</f>
        <v>207.92398299182003</v>
      </c>
      <c r="L8">
        <f>Markowiz!L$8*Close!L$46*Rates!L9</f>
        <v>285.48123980424168</v>
      </c>
      <c r="M8" s="30">
        <f t="shared" si="0"/>
        <v>12950.239831920857</v>
      </c>
    </row>
    <row r="9" spans="1:14" ht="12.75" customHeight="1">
      <c r="A9" s="25" t="str">
        <f>Close!A9</f>
        <v>27/09/23</v>
      </c>
      <c r="B9">
        <f>Markowiz!B$8*Close!B$46*Rates!B10*Close!$K$48/1000</f>
        <v>-1353.0687551501442</v>
      </c>
      <c r="C9">
        <f>Markowiz!C$8*Close!C$46*Rates!C10</f>
        <v>2223.2568967524235</v>
      </c>
      <c r="D9">
        <f>Markowiz!D$8*Close!D$46*Rates!D10</f>
        <v>1239.9975566550702</v>
      </c>
      <c r="E9">
        <f>Markowiz!E$8*Close!E$46*Rates!E10*Close!$K$48/1000</f>
        <v>-818.81822891086813</v>
      </c>
      <c r="F9">
        <f>Markowiz!F$8*Close!F$46*Rates!F10</f>
        <v>2021.1611502984229</v>
      </c>
      <c r="G9">
        <f>Markowiz!G$8*Close!G$46*Rates!G10*Close!$K$48/10</f>
        <v>10261.499523809487</v>
      </c>
      <c r="H9">
        <f>Markowiz!H$8*Close!H$46*Rates!H10</f>
        <v>162.44683359680766</v>
      </c>
      <c r="I9">
        <f>Markowiz!I$8*Close!I$46*Rates!I10</f>
        <v>638.19342169857407</v>
      </c>
      <c r="J9">
        <f>Markowiz!J$8*Close!J$46*Rates!J10</f>
        <v>572.31070446930323</v>
      </c>
      <c r="K9">
        <f>Markowiz!K$8*Close!K$46*Rates!K10</f>
        <v>228.80452225408908</v>
      </c>
      <c r="L9">
        <f>Markowiz!L$8*Close!L$46*Rates!L10</f>
        <v>132.71400132713885</v>
      </c>
      <c r="M9" s="30">
        <f t="shared" si="0"/>
        <v>15308.497626800303</v>
      </c>
    </row>
    <row r="10" spans="1:14" ht="12.75" customHeight="1">
      <c r="A10" s="25" t="str">
        <f>Close!A10</f>
        <v>28/09/23</v>
      </c>
      <c r="B10">
        <f>Markowiz!B$8*Close!B$46*Rates!B11*Close!$K$48/1000</f>
        <v>-1058.4153956552527</v>
      </c>
      <c r="C10">
        <f>Markowiz!C$8*Close!C$46*Rates!C11</f>
        <v>-1582.7829651560044</v>
      </c>
      <c r="D10">
        <f>Markowiz!D$8*Close!D$46*Rates!D11</f>
        <v>-627.48883793893867</v>
      </c>
      <c r="E10">
        <f>Markowiz!E$8*Close!E$46*Rates!E11*Close!$K$48/1000</f>
        <v>-1004.3623833845598</v>
      </c>
      <c r="F10">
        <f>Markowiz!F$8*Close!F$46*Rates!F11</f>
        <v>975.04764437352787</v>
      </c>
      <c r="G10">
        <f>Markowiz!G$8*Close!G$46*Rates!G11*Close!$K$48/10</f>
        <v>-1884.3822356131532</v>
      </c>
      <c r="H10">
        <f>Markowiz!H$8*Close!H$46*Rates!H11</f>
        <v>1470.1137899463702</v>
      </c>
      <c r="I10">
        <f>Markowiz!I$8*Close!I$46*Rates!I11</f>
        <v>-517.07317073170782</v>
      </c>
      <c r="J10">
        <f>Markowiz!J$8*Close!J$46*Rates!J11</f>
        <v>1246.6773988244472</v>
      </c>
      <c r="K10">
        <f>Markowiz!K$8*Close!K$46*Rates!K11</f>
        <v>736.36260576517293</v>
      </c>
      <c r="L10">
        <f>Markowiz!L$8*Close!L$46*Rates!L11</f>
        <v>687.55055518787685</v>
      </c>
      <c r="M10" s="30">
        <f t="shared" si="0"/>
        <v>-1558.752994382221</v>
      </c>
    </row>
    <row r="11" spans="1:14" ht="12.75" customHeight="1">
      <c r="A11" s="25" t="str">
        <f>Close!A11</f>
        <v>29/09/23</v>
      </c>
      <c r="B11">
        <f>Markowiz!B$8*Close!B$46*Rates!B12*Close!$K$48/1000</f>
        <v>-1844.7434292866217</v>
      </c>
      <c r="C11">
        <f>Markowiz!C$8*Close!C$46*Rates!C12</f>
        <v>-636.35311813028397</v>
      </c>
      <c r="D11">
        <f>Markowiz!D$8*Close!D$46*Rates!D12</f>
        <v>72.859744990894086</v>
      </c>
      <c r="E11">
        <f>Markowiz!E$8*Close!E$46*Rates!E12*Close!$K$48/1000</f>
        <v>-1078.289083908619</v>
      </c>
      <c r="F11">
        <f>Markowiz!F$8*Close!F$46*Rates!F12</f>
        <v>46.818534287251801</v>
      </c>
      <c r="G11">
        <f>Markowiz!G$8*Close!G$46*Rates!G12*Close!$K$48/10</f>
        <v>-19833.820211416543</v>
      </c>
      <c r="H11">
        <f>Markowiz!H$8*Close!H$46*Rates!H12</f>
        <v>-1808.0105868300554</v>
      </c>
      <c r="I11">
        <f>Markowiz!I$8*Close!I$46*Rates!I12</f>
        <v>-1461.2140825733034</v>
      </c>
      <c r="J11">
        <f>Markowiz!J$8*Close!J$46*Rates!J12</f>
        <v>-942.90785386776929</v>
      </c>
      <c r="K11">
        <f>Markowiz!K$8*Close!K$46*Rates!K12</f>
        <v>722.12065813528352</v>
      </c>
      <c r="L11">
        <f>Markowiz!L$8*Close!L$46*Rates!L12</f>
        <v>438.85100826925873</v>
      </c>
      <c r="M11" s="30">
        <f t="shared" si="0"/>
        <v>-26324.688420330509</v>
      </c>
    </row>
    <row r="12" spans="1:14" ht="12.75" customHeight="1">
      <c r="A12" s="25">
        <f>Close!A12</f>
        <v>44967</v>
      </c>
      <c r="B12">
        <f>Markowiz!B$8*Close!B$46*Rates!B13*Close!$K$48/1000</f>
        <v>444.82816898009565</v>
      </c>
      <c r="C12">
        <f>Markowiz!C$8*Close!C$46*Rates!C13</f>
        <v>518.1648812296213</v>
      </c>
      <c r="D12">
        <f>Markowiz!D$8*Close!D$46*Rates!D13</f>
        <v>248.75621890547706</v>
      </c>
      <c r="E12">
        <f>Markowiz!E$8*Close!E$46*Rates!E13*Close!$K$48/1000</f>
        <v>-204.04650838589197</v>
      </c>
      <c r="F12">
        <f>Markowiz!F$8*Close!F$46*Rates!F13</f>
        <v>533.77400155014686</v>
      </c>
      <c r="G12">
        <f>Markowiz!G$8*Close!G$46*Rates!G13*Close!$K$48/10</f>
        <v>14778.050164239194</v>
      </c>
      <c r="H12">
        <f>Markowiz!H$8*Close!H$46*Rates!H13</f>
        <v>1767.7894755266266</v>
      </c>
      <c r="I12">
        <f>Markowiz!I$8*Close!I$46*Rates!I13</f>
        <v>607.08598726113564</v>
      </c>
      <c r="J12">
        <f>Markowiz!J$8*Close!J$46*Rates!J13</f>
        <v>518.86968531860146</v>
      </c>
      <c r="K12">
        <f>Markowiz!K$8*Close!K$46*Rates!K13</f>
        <v>-226.26699505416403</v>
      </c>
      <c r="L12">
        <f>Markowiz!L$8*Close!L$46*Rates!L13</f>
        <v>-136.62184511397112</v>
      </c>
      <c r="M12" s="30">
        <f t="shared" si="0"/>
        <v>18850.383234456873</v>
      </c>
    </row>
    <row r="13" spans="1:14" ht="12.75" customHeight="1">
      <c r="A13" s="25">
        <f>Close!A13</f>
        <v>44995</v>
      </c>
      <c r="B13">
        <f>Markowiz!B$8*Close!B$46*Rates!B14*Close!$K$48/1000</f>
        <v>-5236.8080468473008</v>
      </c>
      <c r="C13">
        <f>Markowiz!C$8*Close!C$46*Rates!C14</f>
        <v>-839.84940631335326</v>
      </c>
      <c r="D13">
        <f>Markowiz!D$8*Close!D$46*Rates!D14</f>
        <v>-665.73866731223234</v>
      </c>
      <c r="E13">
        <f>Markowiz!E$8*Close!E$46*Rates!E14*Close!$K$48/1000</f>
        <v>-21.522477320191378</v>
      </c>
      <c r="F13">
        <f>Markowiz!F$8*Close!F$46*Rates!F14</f>
        <v>-2176.1266110028264</v>
      </c>
      <c r="G13">
        <f>Markowiz!G$8*Close!G$46*Rates!G14*Close!$K$48/10</f>
        <v>9035.2059124088137</v>
      </c>
      <c r="H13">
        <f>Markowiz!H$8*Close!H$46*Rates!H14</f>
        <v>-79.974545735983497</v>
      </c>
      <c r="I13">
        <f>Markowiz!I$8*Close!I$46*Rates!I14</f>
        <v>-1068.3549312493824</v>
      </c>
      <c r="J13">
        <f>Markowiz!J$8*Close!J$46*Rates!J14</f>
        <v>-167.11229946524409</v>
      </c>
      <c r="K13">
        <f>Markowiz!K$8*Close!K$46*Rates!K14</f>
        <v>185.55767876898832</v>
      </c>
      <c r="L13">
        <f>Markowiz!L$8*Close!L$46*Rates!L14</f>
        <v>108.15487778498279</v>
      </c>
      <c r="M13" s="30">
        <f t="shared" si="0"/>
        <v>-926.5685162837292</v>
      </c>
    </row>
    <row r="14" spans="1:14" ht="12.75" customHeight="1">
      <c r="A14" s="25">
        <f>Close!A14</f>
        <v>45026</v>
      </c>
      <c r="B14">
        <f>Markowiz!B$8*Close!B$46*Rates!B15*Close!$K$48/1000</f>
        <v>-1951.0673617896221</v>
      </c>
      <c r="C14">
        <f>Markowiz!C$8*Close!C$46*Rates!C15</f>
        <v>181.07476635513819</v>
      </c>
      <c r="D14">
        <f>Markowiz!D$8*Close!D$46*Rates!D15</f>
        <v>834.70419789191124</v>
      </c>
      <c r="E14">
        <f>Markowiz!E$8*Close!E$46*Rates!E15*Close!$K$48/1000</f>
        <v>-269.08885686056334</v>
      </c>
      <c r="F14">
        <f>Markowiz!F$8*Close!F$46*Rates!F15</f>
        <v>923.42007434944583</v>
      </c>
      <c r="G14">
        <f>Markowiz!G$8*Close!G$46*Rates!G15*Close!$K$48/10</f>
        <v>44189.783235117189</v>
      </c>
      <c r="H14">
        <f>Markowiz!H$8*Close!H$46*Rates!H15</f>
        <v>47.33463001531657</v>
      </c>
      <c r="I14">
        <f>Markowiz!I$8*Close!I$46*Rates!I15</f>
        <v>-689.93100689931362</v>
      </c>
      <c r="J14">
        <f>Markowiz!J$8*Close!J$46*Rates!J15</f>
        <v>-156.23256332998326</v>
      </c>
      <c r="K14">
        <f>Markowiz!K$8*Close!K$46*Rates!K15</f>
        <v>696.39976352467988</v>
      </c>
      <c r="L14">
        <f>Markowiz!L$8*Close!L$46*Rates!L15</f>
        <v>532.41240377006613</v>
      </c>
      <c r="M14" s="30">
        <f t="shared" si="0"/>
        <v>44338.809282144262</v>
      </c>
    </row>
    <row r="15" spans="1:14" ht="12.75" customHeight="1">
      <c r="A15" s="25">
        <f>Close!A15</f>
        <v>45056</v>
      </c>
      <c r="B15">
        <f>Markowiz!B$8*Close!B$46*Rates!B16*Close!$K$48/1000</f>
        <v>309.80088557577983</v>
      </c>
      <c r="C15">
        <f>Markowiz!C$8*Close!C$46*Rates!C16</f>
        <v>402.30890327095369</v>
      </c>
      <c r="D15">
        <f>Markowiz!D$8*Close!D$46*Rates!D16</f>
        <v>785.49848942597316</v>
      </c>
      <c r="E15">
        <f>Markowiz!E$8*Close!E$46*Rates!E16*Close!$K$48/1000</f>
        <v>496.4588531599843</v>
      </c>
      <c r="F15">
        <f>Markowiz!F$8*Close!F$46*Rates!F16</f>
        <v>1477.8034801314232</v>
      </c>
      <c r="G15">
        <f>Markowiz!G$8*Close!G$46*Rates!G16*Close!$K$48/10</f>
        <v>22025.192066021758</v>
      </c>
      <c r="H15">
        <f>Markowiz!H$8*Close!H$46*Rates!H16</f>
        <v>1675.7133394695866</v>
      </c>
      <c r="I15">
        <f>Markowiz!I$8*Close!I$46*Rates!I16</f>
        <v>1792.1868707209132</v>
      </c>
      <c r="J15">
        <f>Markowiz!J$8*Close!J$46*Rates!J16</f>
        <v>1333.7804105659322</v>
      </c>
      <c r="K15">
        <f>Markowiz!K$8*Close!K$46*Rates!K16</f>
        <v>-365.65239304667261</v>
      </c>
      <c r="L15">
        <f>Markowiz!L$8*Close!L$46*Rates!L16</f>
        <v>-234.92560689115095</v>
      </c>
      <c r="M15" s="30">
        <f t="shared" si="0"/>
        <v>29698.165298404481</v>
      </c>
    </row>
    <row r="16" spans="1:14" ht="12.75" customHeight="1">
      <c r="A16" s="25">
        <f>Close!A16</f>
        <v>45087</v>
      </c>
      <c r="B16">
        <f>Markowiz!B$8*Close!B$46*Rates!B17*Close!$K$48/1000</f>
        <v>4050.614180056325</v>
      </c>
      <c r="C16">
        <f>Markowiz!C$8*Close!C$46*Rates!C17</f>
        <v>75.493612078969534</v>
      </c>
      <c r="D16">
        <f>Markowiz!D$8*Close!D$46*Rates!D17</f>
        <v>-689.44844124699807</v>
      </c>
      <c r="E16">
        <f>Markowiz!E$8*Close!E$46*Rates!E17*Close!$K$48/1000</f>
        <v>1331.6719494658209</v>
      </c>
      <c r="F16">
        <f>Markowiz!F$8*Close!F$46*Rates!F17</f>
        <v>-547.37636844092162</v>
      </c>
      <c r="G16">
        <f>Markowiz!G$8*Close!G$46*Rates!G17*Close!$K$48/10</f>
        <v>4327.6118461113119</v>
      </c>
      <c r="H16">
        <f>Markowiz!H$8*Close!H$46*Rates!H17</f>
        <v>510.16523262010782</v>
      </c>
      <c r="I16">
        <f>Markowiz!I$8*Close!I$46*Rates!I17</f>
        <v>1473.7883283877372</v>
      </c>
      <c r="J16">
        <f>Markowiz!J$8*Close!J$46*Rates!J17</f>
        <v>959.59410272437037</v>
      </c>
      <c r="K16">
        <f>Markowiz!K$8*Close!K$46*Rates!K17</f>
        <v>-830.27207836812727</v>
      </c>
      <c r="L16">
        <f>Markowiz!L$8*Close!L$46*Rates!L17</f>
        <v>-700.9512910378379</v>
      </c>
      <c r="M16" s="30">
        <f t="shared" si="0"/>
        <v>9960.8910723507561</v>
      </c>
    </row>
    <row r="17" spans="1:13" ht="12.75" customHeight="1">
      <c r="A17" s="25">
        <f>Close!A17</f>
        <v>45179</v>
      </c>
      <c r="B17">
        <f>Markowiz!B$8*Close!B$46*Rates!B18*Close!$K$48/1000</f>
        <v>-285.40983454188262</v>
      </c>
      <c r="C17">
        <f>Markowiz!C$8*Close!C$46*Rates!C18</f>
        <v>516.45099518364827</v>
      </c>
      <c r="D17">
        <f>Markowiz!D$8*Close!D$46*Rates!D18</f>
        <v>802.89767582251147</v>
      </c>
      <c r="E17">
        <f>Markowiz!E$8*Close!E$46*Rates!E18*Close!$K$48/1000</f>
        <v>-100.6830472413227</v>
      </c>
      <c r="F17">
        <f>Markowiz!F$8*Close!F$46*Rates!F18</f>
        <v>378.1187497262639</v>
      </c>
      <c r="G17">
        <f>Markowiz!G$8*Close!G$46*Rates!G18*Close!$K$48/10</f>
        <v>4088.598546655744</v>
      </c>
      <c r="H17">
        <f>Markowiz!H$8*Close!H$46*Rates!H18</f>
        <v>-446.12794612794994</v>
      </c>
      <c r="I17">
        <f>Markowiz!I$8*Close!I$46*Rates!I18</f>
        <v>-1003.99649088605</v>
      </c>
      <c r="J17">
        <f>Markowiz!J$8*Close!J$46*Rates!J18</f>
        <v>-990.53168244719325</v>
      </c>
      <c r="K17">
        <f>Markowiz!K$8*Close!K$46*Rates!K18</f>
        <v>914.64957836021597</v>
      </c>
      <c r="L17">
        <f>Markowiz!L$8*Close!L$46*Rates!L18</f>
        <v>888.64708015958809</v>
      </c>
      <c r="M17" s="30">
        <f t="shared" si="0"/>
        <v>4762.6136246635733</v>
      </c>
    </row>
    <row r="18" spans="1:13" ht="12.75" customHeight="1">
      <c r="A18" s="25">
        <f>Close!A18</f>
        <v>45209</v>
      </c>
      <c r="B18">
        <f>Markowiz!B$8*Close!B$46*Rates!B19*Close!$K$48/1000</f>
        <v>-2015.0339340623759</v>
      </c>
      <c r="C18">
        <f>Markowiz!C$8*Close!C$46*Rates!C19</f>
        <v>-132.77912481237664</v>
      </c>
      <c r="D18">
        <f>Markowiz!D$8*Close!D$46*Rates!D19</f>
        <v>-1036.0522218229696</v>
      </c>
      <c r="E18">
        <f>Markowiz!E$8*Close!E$46*Rates!E19*Close!$K$48/1000</f>
        <v>514.53128073973357</v>
      </c>
      <c r="F18">
        <f>Markowiz!F$8*Close!F$46*Rates!F19</f>
        <v>-415.9636977136505</v>
      </c>
      <c r="G18">
        <f>Markowiz!G$8*Close!G$46*Rates!G19*Close!$K$48/10</f>
        <v>214.06984665941476</v>
      </c>
      <c r="H18">
        <f>Markowiz!H$8*Close!H$46*Rates!H19</f>
        <v>-1073.8141540542867</v>
      </c>
      <c r="I18">
        <f>Markowiz!I$8*Close!I$46*Rates!I19</f>
        <v>1762.5049231981161</v>
      </c>
      <c r="J18">
        <f>Markowiz!J$8*Close!J$46*Rates!J19</f>
        <v>-1235.8393408856805</v>
      </c>
      <c r="K18">
        <f>Markowiz!K$8*Close!K$46*Rates!K19</f>
        <v>-1585.6762238040335</v>
      </c>
      <c r="L18">
        <f>Markowiz!L$8*Close!L$46*Rates!L19</f>
        <v>-1710.6200997861697</v>
      </c>
      <c r="M18" s="30">
        <f t="shared" si="0"/>
        <v>-6714.6727463442794</v>
      </c>
    </row>
    <row r="19" spans="1:13" ht="12.75" customHeight="1">
      <c r="A19" s="25">
        <f>Close!A19</f>
        <v>45240</v>
      </c>
      <c r="B19">
        <f>Markowiz!B$8*Close!B$46*Rates!B20*Close!$K$48/1000</f>
        <v>514.11371513188294</v>
      </c>
      <c r="C19">
        <f>Markowiz!C$8*Close!C$46*Rates!C20</f>
        <v>867.10214463263662</v>
      </c>
      <c r="D19">
        <f>Markowiz!D$8*Close!D$46*Rates!D20</f>
        <v>-320.72617246595712</v>
      </c>
      <c r="E19">
        <f>Markowiz!E$8*Close!E$46*Rates!E20*Close!$K$48/1000</f>
        <v>-765.20910505485767</v>
      </c>
      <c r="F19">
        <f>Markowiz!F$8*Close!F$46*Rates!F20</f>
        <v>1545.2022783700947</v>
      </c>
      <c r="G19">
        <f>Markowiz!G$8*Close!G$46*Rates!G20*Close!$K$48/10</f>
        <v>-8560.4498220641035</v>
      </c>
      <c r="H19">
        <f>Markowiz!H$8*Close!H$46*Rates!H20</f>
        <v>480.34188034187241</v>
      </c>
      <c r="I19">
        <f>Markowiz!I$8*Close!I$46*Rates!I20</f>
        <v>-154.81373971939493</v>
      </c>
      <c r="J19">
        <f>Markowiz!J$8*Close!J$46*Rates!J20</f>
        <v>1705.6457619544219</v>
      </c>
      <c r="K19">
        <f>Markowiz!K$8*Close!K$46*Rates!K20</f>
        <v>387.58496067681227</v>
      </c>
      <c r="L19">
        <f>Markowiz!L$8*Close!L$46*Rates!L20</f>
        <v>55.350553505528751</v>
      </c>
      <c r="M19" s="30">
        <f t="shared" si="0"/>
        <v>-4245.8575446910636</v>
      </c>
    </row>
    <row r="20" spans="1:13" ht="12.75" customHeight="1">
      <c r="A20" s="25">
        <f>Close!A20</f>
        <v>45270</v>
      </c>
      <c r="B20">
        <f>Markowiz!B$8*Close!B$46*Rates!B21*Close!$K$48/1000</f>
        <v>4673.1147794393655</v>
      </c>
      <c r="C20">
        <f>Markowiz!C$8*Close!C$46*Rates!C21</f>
        <v>429.82405868530191</v>
      </c>
      <c r="D20">
        <f>Markowiz!D$8*Close!D$46*Rates!D21</f>
        <v>-42.496357455079625</v>
      </c>
      <c r="E20">
        <f>Markowiz!E$8*Close!E$46*Rates!E21*Close!$K$48/1000</f>
        <v>2845.1197392056424</v>
      </c>
      <c r="F20">
        <f>Markowiz!F$8*Close!F$46*Rates!F21</f>
        <v>762.28282130939021</v>
      </c>
      <c r="G20">
        <f>Markowiz!G$8*Close!G$46*Rates!G21*Close!$K$48/10</f>
        <v>-14713.88027677834</v>
      </c>
      <c r="H20">
        <f>Markowiz!H$8*Close!H$46*Rates!H21</f>
        <v>1225.736207277861</v>
      </c>
      <c r="I20">
        <f>Markowiz!I$8*Close!I$46*Rates!I21</f>
        <v>978.77701327648833</v>
      </c>
      <c r="J20">
        <f>Markowiz!J$8*Close!J$46*Rates!J21</f>
        <v>-589.52764555108001</v>
      </c>
      <c r="K20">
        <f>Markowiz!K$8*Close!K$46*Rates!K21</f>
        <v>-164.53903599482624</v>
      </c>
      <c r="L20">
        <f>Markowiz!L$8*Close!L$46*Rates!L21</f>
        <v>-33.173608551417821</v>
      </c>
      <c r="M20" s="30">
        <f t="shared" si="0"/>
        <v>-4628.7623051366936</v>
      </c>
    </row>
    <row r="21" spans="1:13" ht="12.75" customHeight="1">
      <c r="A21" s="25" t="str">
        <f>Close!A21</f>
        <v>13/10/23</v>
      </c>
      <c r="B21">
        <f>Markowiz!B$8*Close!B$46*Rates!B22*Close!$K$48/1000</f>
        <v>-799.62406468256995</v>
      </c>
      <c r="C21">
        <f>Markowiz!C$8*Close!C$46*Rates!C22</f>
        <v>1466.5601460853716</v>
      </c>
      <c r="D21">
        <f>Markowiz!D$8*Close!D$46*Rates!D22</f>
        <v>376.55633161250978</v>
      </c>
      <c r="E21">
        <f>Markowiz!E$8*Close!E$46*Rates!E22*Close!$K$48/1000</f>
        <v>-279.22986411306891</v>
      </c>
      <c r="F21">
        <f>Markowiz!F$8*Close!F$46*Rates!F22</f>
        <v>1116.2179908076109</v>
      </c>
      <c r="G21">
        <f>Markowiz!G$8*Close!G$46*Rates!G22*Close!$K$48/10</f>
        <v>-15437.183526093064</v>
      </c>
      <c r="H21">
        <f>Markowiz!H$8*Close!H$46*Rates!H22</f>
        <v>561.33038662891101</v>
      </c>
      <c r="I21">
        <f>Markowiz!I$8*Close!I$46*Rates!I22</f>
        <v>911.7082533589338</v>
      </c>
      <c r="J21">
        <f>Markowiz!J$8*Close!J$46*Rates!J22</f>
        <v>1981.6567829386011</v>
      </c>
      <c r="K21">
        <f>Markowiz!K$8*Close!K$46*Rates!K22</f>
        <v>-2.555453337421687</v>
      </c>
      <c r="L21">
        <f>Markowiz!L$8*Close!L$46*Rates!L22</f>
        <v>-66.39126586013289</v>
      </c>
      <c r="M21" s="30">
        <f t="shared" si="0"/>
        <v>-10170.954282654318</v>
      </c>
    </row>
    <row r="22" spans="1:13" ht="12.75" customHeight="1">
      <c r="A22" s="25" t="str">
        <f>Close!A22</f>
        <v>16/10/23</v>
      </c>
      <c r="B22">
        <f>Markowiz!B$8*Close!B$46*Rates!B23*Close!$K$48/1000</f>
        <v>1052.3650838339627</v>
      </c>
      <c r="C22">
        <f>Markowiz!C$8*Close!C$46*Rates!C23</f>
        <v>-303.69495528935755</v>
      </c>
      <c r="D22">
        <f>Markowiz!D$8*Close!D$46*Rates!D23</f>
        <v>1603.4368003872369</v>
      </c>
      <c r="E22">
        <f>Markowiz!E$8*Close!E$46*Rates!E23*Close!$K$48/1000</f>
        <v>165.93268887761278</v>
      </c>
      <c r="F22">
        <f>Markowiz!F$8*Close!F$46*Rates!F23</f>
        <v>1350.9316770186297</v>
      </c>
      <c r="G22">
        <f>Markowiz!G$8*Close!G$46*Rates!G23*Close!$K$48/10</f>
        <v>-5174.3916086331419</v>
      </c>
      <c r="H22">
        <f>Markowiz!H$8*Close!H$46*Rates!H23</f>
        <v>1406.3557587051134</v>
      </c>
      <c r="I22">
        <f>Markowiz!I$8*Close!I$46*Rates!I23</f>
        <v>-114.1226818830221</v>
      </c>
      <c r="J22">
        <f>Markowiz!J$8*Close!J$46*Rates!J23</f>
        <v>534.5468992667968</v>
      </c>
      <c r="K22">
        <f>Markowiz!K$8*Close!K$46*Rates!K23</f>
        <v>465.62739585995769</v>
      </c>
      <c r="L22">
        <f>Markowiz!L$8*Close!L$46*Rates!L23</f>
        <v>240.06500221598338</v>
      </c>
      <c r="M22" s="30">
        <f t="shared" si="0"/>
        <v>1227.0520603597718</v>
      </c>
    </row>
    <row r="23" spans="1:13" ht="12.75" customHeight="1">
      <c r="A23" s="25" t="str">
        <f>Close!A23</f>
        <v>17/10/23</v>
      </c>
      <c r="B23">
        <f>Markowiz!B$8*Close!B$46*Rates!B24*Close!$K$48/1000</f>
        <v>609.33577366545364</v>
      </c>
      <c r="C23">
        <f>Markowiz!C$8*Close!C$46*Rates!C24</f>
        <v>-1224.1213967394415</v>
      </c>
      <c r="D23">
        <f>Markowiz!D$8*Close!D$46*Rates!D24</f>
        <v>-452.59647451166842</v>
      </c>
      <c r="E23">
        <f>Markowiz!E$8*Close!E$46*Rates!E24*Close!$K$48/1000</f>
        <v>993.94753940982491</v>
      </c>
      <c r="F23">
        <f>Markowiz!F$8*Close!F$46*Rates!F24</f>
        <v>263.24219674915827</v>
      </c>
      <c r="G23">
        <f>Markowiz!G$8*Close!G$46*Rates!G24*Close!$K$48/10</f>
        <v>3623.5600463500245</v>
      </c>
      <c r="H23">
        <f>Markowiz!H$8*Close!H$46*Rates!H24</f>
        <v>325.49400926216163</v>
      </c>
      <c r="I23">
        <f>Markowiz!I$8*Close!I$46*Rates!I24</f>
        <v>-114.25307055127342</v>
      </c>
      <c r="J23">
        <f>Markowiz!J$8*Close!J$46*Rates!J24</f>
        <v>-955.63139931740261</v>
      </c>
      <c r="K23">
        <f>Markowiz!K$8*Close!K$46*Rates!K24</f>
        <v>-135.71544320207241</v>
      </c>
      <c r="L23">
        <f>Markowiz!L$8*Close!L$46*Rates!L24</f>
        <v>-249.94486510328539</v>
      </c>
      <c r="M23" s="30">
        <f t="shared" si="0"/>
        <v>2683.3169160114794</v>
      </c>
    </row>
    <row r="24" spans="1:13" ht="12.75" customHeight="1">
      <c r="A24" s="25" t="str">
        <f>Close!A24</f>
        <v>18/10/23</v>
      </c>
      <c r="B24">
        <f>Markowiz!B$8*Close!B$46*Rates!B25*Close!$K$48/1000</f>
        <v>1860.9877302599652</v>
      </c>
      <c r="C24">
        <f>Markowiz!C$8*Close!C$46*Rates!C25</f>
        <v>142.77555682467025</v>
      </c>
      <c r="D24">
        <f>Markowiz!D$8*Close!D$46*Rates!D25</f>
        <v>1639.1481215601855</v>
      </c>
      <c r="E24">
        <f>Markowiz!E$8*Close!E$46*Rates!E25*Close!$K$48/1000</f>
        <v>1178.9530510238592</v>
      </c>
      <c r="F24">
        <f>Markowiz!F$8*Close!F$46*Rates!F25</f>
        <v>-538.99369321812605</v>
      </c>
      <c r="G24">
        <f>Markowiz!G$8*Close!G$46*Rates!G25*Close!$K$48/10</f>
        <v>-27953.028235294147</v>
      </c>
      <c r="H24">
        <f>Markowiz!H$8*Close!H$46*Rates!H25</f>
        <v>-368.79153011524227</v>
      </c>
      <c r="I24">
        <f>Markowiz!I$8*Close!I$46*Rates!I25</f>
        <v>905.53808025926048</v>
      </c>
      <c r="J24">
        <f>Markowiz!J$8*Close!J$46*Rates!J25</f>
        <v>293.80826290399398</v>
      </c>
      <c r="K24">
        <f>Markowiz!K$8*Close!K$46*Rates!K25</f>
        <v>-385.40439533655825</v>
      </c>
      <c r="L24">
        <f>Markowiz!L$8*Close!L$46*Rates!L25</f>
        <v>-369.41263391208065</v>
      </c>
      <c r="M24" s="30">
        <f t="shared" si="0"/>
        <v>-23594.419685044224</v>
      </c>
    </row>
    <row r="25" spans="1:13" ht="12.75" customHeight="1">
      <c r="A25" s="25" t="str">
        <f>Close!A25</f>
        <v>19/10/23</v>
      </c>
      <c r="B25">
        <f>Markowiz!B$8*Close!B$46*Rates!B26*Close!$K$48/1000</f>
        <v>-627.01832740545058</v>
      </c>
      <c r="C25">
        <f>Markowiz!C$8*Close!C$46*Rates!C26</f>
        <v>496.15055603080549</v>
      </c>
      <c r="D25">
        <f>Markowiz!D$8*Close!D$46*Rates!D26</f>
        <v>1183.0488522660332</v>
      </c>
      <c r="E25">
        <f>Markowiz!E$8*Close!E$46*Rates!E26*Close!$K$48/1000</f>
        <v>455.95619427386038</v>
      </c>
      <c r="F25">
        <f>Markowiz!F$8*Close!F$46*Rates!F26</f>
        <v>18.15693175786226</v>
      </c>
      <c r="G25">
        <f>Markowiz!G$8*Close!G$46*Rates!G26*Close!$K$48/10</f>
        <v>-11455.553504784668</v>
      </c>
      <c r="H25">
        <f>Markowiz!H$8*Close!H$46*Rates!H26</f>
        <v>-336.35614179720051</v>
      </c>
      <c r="I25">
        <f>Markowiz!I$8*Close!I$46*Rates!I26</f>
        <v>1454.7515586623927</v>
      </c>
      <c r="J25">
        <f>Markowiz!J$8*Close!J$46*Rates!J26</f>
        <v>484.62929475587833</v>
      </c>
      <c r="K25">
        <f>Markowiz!K$8*Close!K$46*Rates!K26</f>
        <v>-639.65448423379814</v>
      </c>
      <c r="L25">
        <f>Markowiz!L$8*Close!L$46*Rates!L26</f>
        <v>-718.27316710085245</v>
      </c>
      <c r="M25" s="30">
        <f t="shared" si="0"/>
        <v>-9684.1622375751413</v>
      </c>
    </row>
    <row r="26" spans="1:13" ht="12.75" customHeight="1">
      <c r="A26" s="25" t="str">
        <f>Close!A26</f>
        <v>20/10/23</v>
      </c>
      <c r="B26">
        <f>Markowiz!B$8*Close!B$46*Rates!B27*Close!$K$48/1000</f>
        <v>-1490.4017141035001</v>
      </c>
      <c r="C26">
        <f>Markowiz!C$8*Close!C$46*Rates!C27</f>
        <v>-709.34059698104511</v>
      </c>
      <c r="D26">
        <f>Markowiz!D$8*Close!D$46*Rates!D27</f>
        <v>-488.6277703449515</v>
      </c>
      <c r="E26">
        <f>Markowiz!E$8*Close!E$46*Rates!E27*Close!$K$48/1000</f>
        <v>-20.172779191135902</v>
      </c>
      <c r="F26">
        <f>Markowiz!F$8*Close!F$46*Rates!F27</f>
        <v>-534.83403387747376</v>
      </c>
      <c r="G26">
        <f>Markowiz!G$8*Close!G$46*Rates!G27*Close!$K$48/10</f>
        <v>237.26345371778862</v>
      </c>
      <c r="H26">
        <f>Markowiz!H$8*Close!H$46*Rates!H27</f>
        <v>-489.69327995235233</v>
      </c>
      <c r="I26">
        <f>Markowiz!I$8*Close!I$46*Rates!I27</f>
        <v>782.12290502792655</v>
      </c>
      <c r="J26">
        <f>Markowiz!J$8*Close!J$46*Rates!J27</f>
        <v>-154.76533256550962</v>
      </c>
      <c r="K26">
        <f>Markowiz!K$8*Close!K$46*Rates!K27</f>
        <v>-572.78221835183604</v>
      </c>
      <c r="L26">
        <f>Markowiz!L$8*Close!L$46*Rates!L27</f>
        <v>-438.00030206918029</v>
      </c>
      <c r="M26" s="30">
        <f t="shared" si="0"/>
        <v>-3879.2316686912691</v>
      </c>
    </row>
    <row r="27" spans="1:13" ht="12.75" customHeight="1">
      <c r="A27" s="25" t="str">
        <f>Close!A27</f>
        <v>23/10/23</v>
      </c>
      <c r="B27">
        <f>Markowiz!B$8*Close!B$46*Rates!B28*Close!$K$48/1000</f>
        <v>-2528.9308799678802</v>
      </c>
      <c r="C27">
        <f>Markowiz!C$8*Close!C$46*Rates!C28</f>
        <v>-91.444247585303899</v>
      </c>
      <c r="D27">
        <f>Markowiz!D$8*Close!D$46*Rates!D28</f>
        <v>455.95370316244833</v>
      </c>
      <c r="E27">
        <f>Markowiz!E$8*Close!E$46*Rates!E28*Close!$K$48/1000</f>
        <v>-80.707390876716445</v>
      </c>
      <c r="F27">
        <f>Markowiz!F$8*Close!F$46*Rates!F28</f>
        <v>-109.50749705171958</v>
      </c>
      <c r="G27">
        <f>Markowiz!G$8*Close!G$46*Rates!G28*Close!$K$48/10</f>
        <v>12096.764890776749</v>
      </c>
      <c r="H27">
        <f>Markowiz!H$8*Close!H$46*Rates!H28</f>
        <v>-457.19035743972955</v>
      </c>
      <c r="I27">
        <f>Markowiz!I$8*Close!I$46*Rates!I28</f>
        <v>1219.5121951219523</v>
      </c>
      <c r="J27">
        <f>Markowiz!J$8*Close!J$46*Rates!J28</f>
        <v>468.62045348041727</v>
      </c>
      <c r="K27">
        <f>Markowiz!K$8*Close!K$46*Rates!K28</f>
        <v>-574.17622753109242</v>
      </c>
      <c r="L27">
        <f>Markowiz!L$8*Close!L$46*Rates!L28</f>
        <v>-643.76047539234651</v>
      </c>
      <c r="M27" s="30">
        <f t="shared" si="0"/>
        <v>9755.1341666967783</v>
      </c>
    </row>
    <row r="28" spans="1:13" ht="12.75" customHeight="1">
      <c r="A28" s="25" t="str">
        <f>Close!A28</f>
        <v>24/10/23</v>
      </c>
      <c r="B28">
        <f>Markowiz!B$8*Close!B$46*Rates!B29*Close!$K$48/1000</f>
        <v>1654.1461902297292</v>
      </c>
      <c r="C28">
        <f>Markowiz!C$8*Close!C$46*Rates!C29</f>
        <v>-417.59624735426826</v>
      </c>
      <c r="D28">
        <f>Markowiz!D$8*Close!D$46*Rates!D29</f>
        <v>1251.0910677916875</v>
      </c>
      <c r="E28">
        <f>Markowiz!E$8*Close!E$46*Rates!E29*Close!$K$48/1000</f>
        <v>535.11816377775187</v>
      </c>
      <c r="F28">
        <f>Markowiz!F$8*Close!F$46*Rates!F29</f>
        <v>-687.2803935347838</v>
      </c>
      <c r="G28">
        <f>Markowiz!G$8*Close!G$46*Rates!G29*Close!$K$48/10</f>
        <v>14248.21269196297</v>
      </c>
      <c r="H28">
        <f>Markowiz!H$8*Close!H$46*Rates!H29</f>
        <v>414.19624217118314</v>
      </c>
      <c r="I28">
        <f>Markowiz!I$8*Close!I$46*Rates!I29</f>
        <v>-200.80321285140812</v>
      </c>
      <c r="J28">
        <f>Markowiz!J$8*Close!J$46*Rates!J29</f>
        <v>896.98970255820404</v>
      </c>
      <c r="K28">
        <f>Markowiz!K$8*Close!K$46*Rates!K29</f>
        <v>100.78613182825657</v>
      </c>
      <c r="L28">
        <f>Markowiz!L$8*Close!L$46*Rates!L29</f>
        <v>-7.717835918813476</v>
      </c>
      <c r="M28" s="30">
        <f t="shared" si="0"/>
        <v>17787.142500660502</v>
      </c>
    </row>
    <row r="29" spans="1:13" ht="12.75" customHeight="1">
      <c r="A29" s="25" t="str">
        <f>Close!A29</f>
        <v>25/10/23</v>
      </c>
      <c r="B29">
        <f>Markowiz!B$8*Close!B$46*Rates!B30*Close!$K$48/1000</f>
        <v>-1515.7856849033305</v>
      </c>
      <c r="C29">
        <f>Markowiz!C$8*Close!C$46*Rates!C30</f>
        <v>-798.48345588234838</v>
      </c>
      <c r="D29">
        <f>Markowiz!D$8*Close!D$46*Rates!D30</f>
        <v>-775.86206896551607</v>
      </c>
      <c r="E29">
        <f>Markowiz!E$8*Close!E$46*Rates!E30*Close!$K$48/1000</f>
        <v>220.94271088487667</v>
      </c>
      <c r="F29">
        <f>Markowiz!F$8*Close!F$46*Rates!F30</f>
        <v>-1944.4955491713988</v>
      </c>
      <c r="G29">
        <f>Markowiz!G$8*Close!G$46*Rates!G30*Close!$K$48/10</f>
        <v>24545.419471831006</v>
      </c>
      <c r="H29">
        <f>Markowiz!H$8*Close!H$46*Rates!H30</f>
        <v>-1544.3341150641165</v>
      </c>
      <c r="I29">
        <f>Markowiz!I$8*Close!I$46*Rates!I30</f>
        <v>-2085.2387049570152</v>
      </c>
      <c r="J29">
        <f>Markowiz!J$8*Close!J$46*Rates!J30</f>
        <v>-1607.339710536615</v>
      </c>
      <c r="K29">
        <f>Markowiz!K$8*Close!K$46*Rates!K30</f>
        <v>376.92299547904543</v>
      </c>
      <c r="L29">
        <f>Markowiz!L$8*Close!L$46*Rates!L30</f>
        <v>416.82747973755818</v>
      </c>
      <c r="M29" s="30">
        <f t="shared" si="0"/>
        <v>15288.573368452146</v>
      </c>
    </row>
    <row r="30" spans="1:13" ht="12.75" customHeight="1">
      <c r="A30" s="25" t="str">
        <f>Close!A30</f>
        <v>26/10/23</v>
      </c>
      <c r="B30">
        <f>Markowiz!B$8*Close!B$46*Rates!B31*Close!$K$48/1000</f>
        <v>1471.203752994405</v>
      </c>
      <c r="C30">
        <f>Markowiz!C$8*Close!C$46*Rates!C31</f>
        <v>-503.79292373617932</v>
      </c>
      <c r="D30">
        <f>Markowiz!D$8*Close!D$46*Rates!D31</f>
        <v>1268.4622067767216</v>
      </c>
      <c r="E30">
        <f>Markowiz!E$8*Close!E$46*Rates!E31*Close!$K$48/1000</f>
        <v>1017.1030503498062</v>
      </c>
      <c r="F30">
        <f>Markowiz!F$8*Close!F$46*Rates!F31</f>
        <v>1169.0504712283723</v>
      </c>
      <c r="G30">
        <f>Markowiz!G$8*Close!G$46*Rates!G31*Close!$K$48/10</f>
        <v>-10453.42951920345</v>
      </c>
      <c r="H30">
        <f>Markowiz!H$8*Close!H$46*Rates!H31</f>
        <v>1126.7938744309092</v>
      </c>
      <c r="I30">
        <f>Markowiz!I$8*Close!I$46*Rates!I31</f>
        <v>-93.405566971793689</v>
      </c>
      <c r="J30">
        <f>Markowiz!J$8*Close!J$46*Rates!J31</f>
        <v>-57.826448371822714</v>
      </c>
      <c r="K30">
        <f>Markowiz!K$8*Close!K$46*Rates!K31</f>
        <v>328.91625771062081</v>
      </c>
      <c r="L30">
        <f>Markowiz!L$8*Close!L$46*Rates!L31</f>
        <v>76.552093699766573</v>
      </c>
      <c r="M30" s="30">
        <f t="shared" si="0"/>
        <v>-4650.3727510926437</v>
      </c>
    </row>
    <row r="31" spans="1:13" ht="12.75" customHeight="1">
      <c r="A31" s="25" t="str">
        <f>Close!A31</f>
        <v>27/10/23</v>
      </c>
      <c r="B31">
        <f>Markowiz!B$8*Close!B$46*Rates!B32*Close!$K$48/1000</f>
        <v>-2197.1288155087045</v>
      </c>
      <c r="C31">
        <f>Markowiz!C$8*Close!C$46*Rates!C32</f>
        <v>-285.1821673844679</v>
      </c>
      <c r="D31">
        <f>Markowiz!D$8*Close!D$46*Rates!D32</f>
        <v>291.69526424159818</v>
      </c>
      <c r="E31">
        <f>Markowiz!E$8*Close!E$46*Rates!E32*Close!$K$48/1000</f>
        <v>-540.6327326323626</v>
      </c>
      <c r="F31">
        <f>Markowiz!F$8*Close!F$46*Rates!F32</f>
        <v>-1363.8244147395783</v>
      </c>
      <c r="G31">
        <f>Markowiz!G$8*Close!G$46*Rates!G32*Close!$K$48/10</f>
        <v>-24346.185882352969</v>
      </c>
      <c r="H31">
        <f>Markowiz!H$8*Close!H$46*Rates!H32</f>
        <v>-689.09065091919967</v>
      </c>
      <c r="I31">
        <f>Markowiz!I$8*Close!I$46*Rates!I32</f>
        <v>888.1824981301412</v>
      </c>
      <c r="J31">
        <f>Markowiz!J$8*Close!J$46*Rates!J32</f>
        <v>-104.87108089538566</v>
      </c>
      <c r="K31">
        <f>Markowiz!K$8*Close!K$46*Rates!K32</f>
        <v>-846.14822470689967</v>
      </c>
      <c r="L31">
        <f>Markowiz!L$8*Close!L$46*Rates!L32</f>
        <v>-752.88542383245556</v>
      </c>
      <c r="M31" s="30">
        <f t="shared" si="0"/>
        <v>-29946.071630600287</v>
      </c>
    </row>
    <row r="32" spans="1:13" ht="12.75" customHeight="1">
      <c r="A32" s="25" t="str">
        <f>Close!A32</f>
        <v>30/10/23</v>
      </c>
      <c r="B32">
        <f>Markowiz!B$8*Close!B$46*Rates!B33*Close!$K$48/1000</f>
        <v>-1676.2969012803028</v>
      </c>
      <c r="C32">
        <f>Markowiz!C$8*Close!C$46*Rates!C33</f>
        <v>385.22150236386386</v>
      </c>
      <c r="D32">
        <f>Markowiz!D$8*Close!D$46*Rates!D33</f>
        <v>826.91759338466841</v>
      </c>
      <c r="E32">
        <f>Markowiz!E$8*Close!E$46*Rates!E33*Close!$K$48/1000</f>
        <v>-668.24229087706965</v>
      </c>
      <c r="F32">
        <f>Markowiz!F$8*Close!F$46*Rates!F33</f>
        <v>-1089.0788388944306</v>
      </c>
      <c r="G32">
        <f>Markowiz!G$8*Close!G$46*Rates!G33*Close!$K$48/10</f>
        <v>54445.607357142842</v>
      </c>
      <c r="H32">
        <f>Markowiz!H$8*Close!H$46*Rates!H33</f>
        <v>-2715.7731837373244</v>
      </c>
      <c r="I32">
        <f>Markowiz!I$8*Close!I$46*Rates!I33</f>
        <v>-1603.1878417199553</v>
      </c>
      <c r="J32">
        <f>Markowiz!J$8*Close!J$46*Rates!J33</f>
        <v>-550.2461627570176</v>
      </c>
      <c r="K32">
        <f>Markowiz!K$8*Close!K$46*Rates!K33</f>
        <v>547.96848119278434</v>
      </c>
      <c r="L32">
        <f>Markowiz!L$8*Close!L$46*Rates!L33</f>
        <v>318.17476330902036</v>
      </c>
      <c r="M32" s="30">
        <f t="shared" si="0"/>
        <v>48221.064478127089</v>
      </c>
    </row>
    <row r="33" spans="1:13" ht="12.75" customHeight="1">
      <c r="A33" s="25" t="str">
        <f>Close!A33</f>
        <v>31/10/23</v>
      </c>
      <c r="B33">
        <f>Markowiz!B$8*Close!B$46*Rates!B34*Close!$K$48/1000</f>
        <v>-603.08097270905637</v>
      </c>
      <c r="C33">
        <f>Markowiz!C$8*Close!C$46*Rates!C34</f>
        <v>1238.4440955869547</v>
      </c>
      <c r="D33">
        <f>Markowiz!D$8*Close!D$46*Rates!D34</f>
        <v>1227.3755656108553</v>
      </c>
      <c r="E33">
        <f>Markowiz!E$8*Close!E$46*Rates!E34*Close!$K$48/1000</f>
        <v>-351.42920982854804</v>
      </c>
      <c r="F33">
        <f>Markowiz!F$8*Close!F$46*Rates!F34</f>
        <v>1118.6173012809331</v>
      </c>
      <c r="G33">
        <f>Markowiz!G$8*Close!G$46*Rates!G34*Close!$K$48/10</f>
        <v>-18707.10764607678</v>
      </c>
      <c r="H33">
        <f>Markowiz!H$8*Close!H$46*Rates!H34</f>
        <v>1150.6972481823086</v>
      </c>
      <c r="I33">
        <f>Markowiz!I$8*Close!I$46*Rates!I34</f>
        <v>1299.6797890374889</v>
      </c>
      <c r="J33">
        <f>Markowiz!J$8*Close!J$46*Rates!J34</f>
        <v>571.4909726266759</v>
      </c>
      <c r="K33">
        <f>Markowiz!K$8*Close!K$46*Rates!K34</f>
        <v>-472.17378516355433</v>
      </c>
      <c r="L33">
        <f>Markowiz!L$8*Close!L$46*Rates!L34</f>
        <v>-327.72979642196611</v>
      </c>
      <c r="M33" s="30">
        <f t="shared" si="0"/>
        <v>-13855.216437874687</v>
      </c>
    </row>
    <row r="34" spans="1:13" ht="12.75" customHeight="1">
      <c r="A34" s="25">
        <f>Close!A34</f>
        <v>44937</v>
      </c>
      <c r="B34">
        <f>Markowiz!B$8*Close!B$46*Rates!B35*Close!$K$48/1000</f>
        <v>2018.5725390979987</v>
      </c>
      <c r="C34">
        <f>Markowiz!C$8*Close!C$46*Rates!C35</f>
        <v>-1234.7806110728277</v>
      </c>
      <c r="D34">
        <f>Markowiz!D$8*Close!D$46*Rates!D35</f>
        <v>1016.9302117673418</v>
      </c>
      <c r="E34">
        <f>Markowiz!E$8*Close!E$46*Rates!E35*Close!$K$48/1000</f>
        <v>488.69718259309195</v>
      </c>
      <c r="F34">
        <f>Markowiz!F$8*Close!F$46*Rates!F35</f>
        <v>-107.00909577313622</v>
      </c>
      <c r="G34">
        <f>Markowiz!G$8*Close!G$46*Rates!G35*Close!$K$48/10</f>
        <v>2005.7148574686507</v>
      </c>
      <c r="H34">
        <f>Markowiz!H$8*Close!H$46*Rates!H35</f>
        <v>-506.83760683760681</v>
      </c>
      <c r="I34">
        <f>Markowiz!I$8*Close!I$46*Rates!I35</f>
        <v>-753.0680550390523</v>
      </c>
      <c r="J34">
        <f>Markowiz!J$8*Close!J$46*Rates!J35</f>
        <v>-401.75178254732157</v>
      </c>
      <c r="K34">
        <f>Markowiz!K$8*Close!K$46*Rates!K35</f>
        <v>173.38465943435023</v>
      </c>
      <c r="L34">
        <f>Markowiz!L$8*Close!L$46*Rates!L35</f>
        <v>260.03260110223357</v>
      </c>
      <c r="M34" s="30">
        <f t="shared" si="0"/>
        <v>2959.8849001937224</v>
      </c>
    </row>
    <row r="35" spans="1:13" ht="12.75" customHeight="1">
      <c r="A35" s="25">
        <f>Close!A35</f>
        <v>44968</v>
      </c>
      <c r="B35">
        <f>Markowiz!B$8*Close!B$46*Rates!B36*Close!$K$48/1000</f>
        <v>-1749.9032635365156</v>
      </c>
      <c r="C35">
        <f>Markowiz!C$8*Close!C$46*Rates!C36</f>
        <v>494.27225678897457</v>
      </c>
      <c r="D35">
        <f>Markowiz!D$8*Close!D$46*Rates!D36</f>
        <v>735.6601581945954</v>
      </c>
      <c r="E35">
        <f>Markowiz!E$8*Close!E$46*Rates!E36*Close!$K$48/1000</f>
        <v>35.095368669206522</v>
      </c>
      <c r="F35">
        <f>Markowiz!F$8*Close!F$46*Rates!F36</f>
        <v>-295.3140607130922</v>
      </c>
      <c r="G35">
        <f>Markowiz!G$8*Close!G$46*Rates!G36*Close!$K$48/10</f>
        <v>-3778.8775547340956</v>
      </c>
      <c r="H35">
        <f>Markowiz!H$8*Close!H$46*Rates!H36</f>
        <v>-132.29444964649727</v>
      </c>
      <c r="I35">
        <f>Markowiz!I$8*Close!I$46*Rates!I36</f>
        <v>1330.2107728337287</v>
      </c>
      <c r="J35">
        <f>Markowiz!J$8*Close!J$46*Rates!J36</f>
        <v>-334.32662257431025</v>
      </c>
      <c r="K35">
        <f>Markowiz!K$8*Close!K$46*Rates!K36</f>
        <v>-523.64043708917336</v>
      </c>
      <c r="L35">
        <f>Markowiz!L$8*Close!L$46*Rates!L36</f>
        <v>-339.76833976833711</v>
      </c>
      <c r="M35" s="30">
        <f t="shared" si="0"/>
        <v>-4558.8861715755156</v>
      </c>
    </row>
    <row r="36" spans="1:13" ht="12.75" customHeight="1">
      <c r="A36" s="25">
        <f>Close!A36</f>
        <v>44996</v>
      </c>
      <c r="B36">
        <f>Markowiz!B$8*Close!B$46*Rates!B37*Close!$K$48/1000</f>
        <v>174.61343123741045</v>
      </c>
      <c r="C36">
        <f>Markowiz!C$8*Close!C$46*Rates!C37</f>
        <v>231.45469274390427</v>
      </c>
      <c r="D36">
        <f>Markowiz!D$8*Close!D$46*Rates!D37</f>
        <v>-812.65099934109128</v>
      </c>
      <c r="E36">
        <f>Markowiz!E$8*Close!E$46*Rates!E37*Close!$K$48/1000</f>
        <v>-781.85108019461404</v>
      </c>
      <c r="F36">
        <f>Markowiz!F$8*Close!F$46*Rates!F37</f>
        <v>2023.9564428312206</v>
      </c>
      <c r="G36">
        <f>Markowiz!G$8*Close!G$46*Rates!G37*Close!$K$48/10</f>
        <v>-38419.054217142875</v>
      </c>
      <c r="H36">
        <f>Markowiz!H$8*Close!H$46*Rates!H37</f>
        <v>-289.88499221525024</v>
      </c>
      <c r="I36">
        <f>Markowiz!I$8*Close!I$46*Rates!I37</f>
        <v>1026.1625219561754</v>
      </c>
      <c r="J36">
        <f>Markowiz!J$8*Close!J$46*Rates!J37</f>
        <v>1874.1340333989554</v>
      </c>
      <c r="K36">
        <f>Markowiz!K$8*Close!K$46*Rates!K37</f>
        <v>-71.020451754150173</v>
      </c>
      <c r="L36">
        <f>Markowiz!L$8*Close!L$46*Rates!L37</f>
        <v>-7.7748406157707173</v>
      </c>
      <c r="M36" s="30">
        <f t="shared" si="0"/>
        <v>-35051.915459096082</v>
      </c>
    </row>
    <row r="37" spans="1:13" ht="12.75" customHeight="1">
      <c r="A37" s="25">
        <f>Close!A37</f>
        <v>45088</v>
      </c>
      <c r="B37">
        <f>Markowiz!B$8*Close!B$46*Rates!B38*Close!$K$48/1000</f>
        <v>-2893.5325758742538</v>
      </c>
      <c r="C37">
        <f>Markowiz!C$8*Close!C$46*Rates!C38</f>
        <v>-686.9876457683888</v>
      </c>
      <c r="D37">
        <f>Markowiz!D$8*Close!D$46*Rates!D38</f>
        <v>-365.36758193090878</v>
      </c>
      <c r="E37">
        <f>Markowiz!E$8*Close!E$46*Rates!E38*Close!$K$48/1000</f>
        <v>-262.6698546118854</v>
      </c>
      <c r="F37">
        <f>Markowiz!F$8*Close!F$46*Rates!F38</f>
        <v>-731.47476127453092</v>
      </c>
      <c r="G37">
        <f>Markowiz!G$8*Close!G$46*Rates!G38*Close!$K$48/10</f>
        <v>-15739.022343749933</v>
      </c>
      <c r="H37">
        <f>Markowiz!H$8*Close!H$46*Rates!H38</f>
        <v>-171.67604127126256</v>
      </c>
      <c r="I37">
        <f>Markowiz!I$8*Close!I$46*Rates!I38</f>
        <v>-356.88140556369154</v>
      </c>
      <c r="J37">
        <f>Markowiz!J$8*Close!J$46*Rates!J38</f>
        <v>-121.68933428775563</v>
      </c>
      <c r="K37">
        <f>Markowiz!K$8*Close!K$46*Rates!K38</f>
        <v>228.33736176766095</v>
      </c>
      <c r="L37">
        <f>Markowiz!L$8*Close!L$46*Rates!L38</f>
        <v>167.1850699844546</v>
      </c>
      <c r="M37" s="30">
        <f t="shared" si="0"/>
        <v>-20933.779112580491</v>
      </c>
    </row>
    <row r="38" spans="1:13" ht="12.75" customHeight="1">
      <c r="A38" s="25">
        <f>Close!A38</f>
        <v>45118</v>
      </c>
      <c r="B38">
        <f>Markowiz!B$8*Close!B$46*Rates!B39*Close!$K$48/1000</f>
        <v>-2082.2108618935144</v>
      </c>
      <c r="C38">
        <f>Markowiz!C$8*Close!C$46*Rates!C39</f>
        <v>-23.251758414233326</v>
      </c>
      <c r="D38">
        <f>Markowiz!D$8*Close!D$46*Rates!D39</f>
        <v>-1339.0376708523165</v>
      </c>
      <c r="E38">
        <f>Markowiz!E$8*Close!E$46*Rates!E39*Close!$K$48/1000</f>
        <v>-1012.9282154975984</v>
      </c>
      <c r="F38">
        <f>Markowiz!F$8*Close!F$46*Rates!F39</f>
        <v>-412.87362913052795</v>
      </c>
      <c r="G38">
        <f>Markowiz!G$8*Close!G$46*Rates!G39*Close!$K$48/10</f>
        <v>-4555.0072125115321</v>
      </c>
      <c r="H38">
        <f>Markowiz!H$8*Close!H$46*Rates!H39</f>
        <v>-425.17521193947692</v>
      </c>
      <c r="I38">
        <f>Markowiz!I$8*Close!I$46*Rates!I39</f>
        <v>982.64303425474873</v>
      </c>
      <c r="J38">
        <f>Markowiz!J$8*Close!J$46*Rates!J39</f>
        <v>1698.5594495807277</v>
      </c>
      <c r="K38">
        <f>Markowiz!K$8*Close!K$46*Rates!K39</f>
        <v>-409.35174440268617</v>
      </c>
      <c r="L38">
        <f>Markowiz!L$8*Close!L$46*Rates!L39</f>
        <v>-325.50569634968718</v>
      </c>
      <c r="M38" s="30">
        <f t="shared" si="0"/>
        <v>-7904.1395171560962</v>
      </c>
    </row>
    <row r="39" spans="1:13" ht="12.75" customHeight="1">
      <c r="A39" s="25">
        <f>Close!A39</f>
        <v>45149</v>
      </c>
      <c r="B39">
        <f>Markowiz!B$8*Close!B$46*Rates!B40*Close!$K$48/1000</f>
        <v>-122.21091522552943</v>
      </c>
      <c r="C39">
        <f>Markowiz!C$8*Close!C$46*Rates!C40</f>
        <v>-191.87162044305151</v>
      </c>
      <c r="D39">
        <f>Markowiz!D$8*Close!D$46*Rates!D40</f>
        <v>-281.5790955679409</v>
      </c>
      <c r="E39">
        <f>Markowiz!E$8*Close!E$46*Rates!E40*Close!$K$48/1000</f>
        <v>521.87742191833468</v>
      </c>
      <c r="F39">
        <f>Markowiz!F$8*Close!F$46*Rates!F40</f>
        <v>-359.88310996588615</v>
      </c>
      <c r="G39">
        <f>Markowiz!G$8*Close!G$46*Rates!G40*Close!$K$48/10</f>
        <v>-18326.808784700821</v>
      </c>
      <c r="H39">
        <f>Markowiz!H$8*Close!H$46*Rates!H40</f>
        <v>-274.24604035583002</v>
      </c>
      <c r="I39">
        <f>Markowiz!I$8*Close!I$46*Rates!I40</f>
        <v>-300.1091305929404</v>
      </c>
      <c r="J39">
        <f>Markowiz!J$8*Close!J$46*Rates!J40</f>
        <v>-528.54122621563965</v>
      </c>
      <c r="K39">
        <f>Markowiz!K$8*Close!K$46*Rates!K40</f>
        <v>86.410476599396716</v>
      </c>
      <c r="L39">
        <f>Markowiz!L$8*Close!L$46*Rates!L40</f>
        <v>-109.21288712067989</v>
      </c>
      <c r="M39" s="30">
        <f t="shared" si="0"/>
        <v>-19886.174911670583</v>
      </c>
    </row>
    <row r="40" spans="1:13" ht="12.75" customHeight="1">
      <c r="A40" s="25">
        <f>Close!A40</f>
        <v>45180</v>
      </c>
      <c r="B40">
        <f>Markowiz!B$8*Close!B$46*Rates!B41*Close!$K$48/1000</f>
        <v>1162.4237089461599</v>
      </c>
      <c r="C40">
        <f>Markowiz!C$8*Close!C$46*Rates!C41</f>
        <v>-46.60375160200347</v>
      </c>
      <c r="D40">
        <f>Markowiz!D$8*Close!D$46*Rates!D41</f>
        <v>-197.66194160500962</v>
      </c>
      <c r="E40">
        <f>Markowiz!E$8*Close!E$46*Rates!E41*Close!$K$48/1000</f>
        <v>-1043.4281514496045</v>
      </c>
      <c r="F40">
        <f>Markowiz!F$8*Close!F$46*Rates!F41</f>
        <v>408.85909530896657</v>
      </c>
      <c r="G40">
        <f>Markowiz!G$8*Close!G$46*Rates!G41*Close!$K$48/10</f>
        <v>-8889.5107012002372</v>
      </c>
      <c r="H40">
        <f>Markowiz!H$8*Close!H$46*Rates!H41</f>
        <v>-952.05771523553256</v>
      </c>
      <c r="I40">
        <f>Markowiz!I$8*Close!I$46*Rates!I41</f>
        <v>-273.64772416309523</v>
      </c>
      <c r="J40">
        <f>Markowiz!J$8*Close!J$46*Rates!J41</f>
        <v>1154.7998583067765</v>
      </c>
      <c r="K40">
        <f>Markowiz!K$8*Close!K$46*Rates!K41</f>
        <v>192.34684583320228</v>
      </c>
      <c r="L40">
        <f>Markowiz!L$8*Close!L$46*Rates!L41</f>
        <v>109.45195840825761</v>
      </c>
      <c r="M40" s="30">
        <f t="shared" si="0"/>
        <v>-8375.0285184521199</v>
      </c>
    </row>
    <row r="41" spans="1:13" ht="12.75" customHeight="1">
      <c r="A41" s="25">
        <f>Close!A41</f>
        <v>45210</v>
      </c>
      <c r="B41">
        <f>Markowiz!B$8*Close!B$46*Rates!B42*Close!$K$48/1000</f>
        <v>895.06677367524946</v>
      </c>
      <c r="C41">
        <f>Markowiz!C$8*Close!C$46*Rates!C42</f>
        <v>-338.03473598321699</v>
      </c>
      <c r="D41">
        <f>Markowiz!D$8*Close!D$46*Rates!D42</f>
        <v>424.40018107741116</v>
      </c>
      <c r="E41">
        <f>Markowiz!E$8*Close!E$46*Rates!E42*Close!$K$48/1000</f>
        <v>473.20569042330379</v>
      </c>
      <c r="F41">
        <f>Markowiz!F$8*Close!F$46*Rates!F42</f>
        <v>-282.01438848920458</v>
      </c>
      <c r="G41">
        <f>Markowiz!G$8*Close!G$46*Rates!G42*Close!$K$48/10</f>
        <v>35217.704242811502</v>
      </c>
      <c r="H41">
        <f>Markowiz!H$8*Close!H$46*Rates!H42</f>
        <v>898.82704388701825</v>
      </c>
      <c r="I41">
        <f>Markowiz!I$8*Close!I$46*Rates!I42</f>
        <v>1134.1809201500075</v>
      </c>
      <c r="J41">
        <f>Markowiz!J$8*Close!J$46*Rates!J42</f>
        <v>1250.1750945510537</v>
      </c>
      <c r="K41">
        <f>Markowiz!K$8*Close!K$46*Rates!K42</f>
        <v>-587.10503842869241</v>
      </c>
      <c r="L41">
        <f>Markowiz!L$8*Close!L$46*Rates!L42</f>
        <v>-507.05983306030265</v>
      </c>
      <c r="M41" s="30">
        <f t="shared" si="0"/>
        <v>38579.345950614123</v>
      </c>
    </row>
    <row r="42" spans="1:13" ht="12.75" customHeight="1">
      <c r="A42" s="25" t="str">
        <f>Close!A42</f>
        <v>13/11/23</v>
      </c>
      <c r="B42">
        <f>Markowiz!B$8*Close!B$46*Rates!B43*Close!$K$48/1000</f>
        <v>-179.82358634563587</v>
      </c>
      <c r="C42">
        <f>Markowiz!C$8*Close!C$46*Rates!C43</f>
        <v>-1339.1812865497066</v>
      </c>
      <c r="D42">
        <f>Markowiz!D$8*Close!D$46*Rates!D43</f>
        <v>-1504.479630360056</v>
      </c>
      <c r="E42">
        <f>Markowiz!E$8*Close!E$46*Rates!E43*Close!$K$48/1000</f>
        <v>849.8080014226108</v>
      </c>
      <c r="F42">
        <f>Markowiz!F$8*Close!F$46*Rates!F43</f>
        <v>-1360.6718226942148</v>
      </c>
      <c r="G42">
        <f>Markowiz!G$8*Close!G$46*Rates!G43*Close!$K$48/10</f>
        <v>-26529.477798838187</v>
      </c>
      <c r="H42">
        <f>Markowiz!H$8*Close!H$46*Rates!H43</f>
        <v>141.06828750064525</v>
      </c>
      <c r="I42">
        <f>Markowiz!I$8*Close!I$46*Rates!I43</f>
        <v>-379.84986886135943</v>
      </c>
      <c r="J42">
        <f>Markowiz!J$8*Close!J$46*Rates!J43</f>
        <v>-1155.1897070521954</v>
      </c>
      <c r="K42">
        <f>Markowiz!K$8*Close!K$46*Rates!K43</f>
        <v>-501.18816158997714</v>
      </c>
      <c r="L42">
        <f>Markowiz!L$8*Close!L$46*Rates!L43</f>
        <v>-283.71030026006497</v>
      </c>
      <c r="M42" s="30">
        <f t="shared" si="0"/>
        <v>-32242.695873628138</v>
      </c>
    </row>
    <row r="43" spans="1:13" ht="12.75" customHeight="1">
      <c r="A43" s="25" t="str">
        <f>Close!A43</f>
        <v>14/11/23</v>
      </c>
      <c r="B43">
        <f>Markowiz!B$8*Close!B$46*Rates!B44*Close!$K$48/1000</f>
        <v>-1669.3658911528416</v>
      </c>
      <c r="C43">
        <f>Markowiz!C$8*Close!C$46*Rates!C44</f>
        <v>391.20384091044792</v>
      </c>
      <c r="D43">
        <f>Markowiz!D$8*Close!D$46*Rates!D44</f>
        <v>-102.97482837529071</v>
      </c>
      <c r="E43">
        <f>Markowiz!E$8*Close!E$46*Rates!E44*Close!$K$48/1000</f>
        <v>-294.41991078800203</v>
      </c>
      <c r="F43">
        <f>Markowiz!F$8*Close!F$46*Rates!F44</f>
        <v>734.33682947878776</v>
      </c>
      <c r="G43">
        <f>Markowiz!G$8*Close!G$46*Rates!G44*Close!$K$48/10</f>
        <v>8906.3895189873911</v>
      </c>
      <c r="H43">
        <f>Markowiz!H$8*Close!H$46*Rates!H44</f>
        <v>-414.78260869565185</v>
      </c>
      <c r="I43">
        <f>Markowiz!I$8*Close!I$46*Rates!I44</f>
        <v>1997.2764412165222</v>
      </c>
      <c r="J43">
        <f>Markowiz!J$8*Close!J$46*Rates!J44</f>
        <v>745.302494838862</v>
      </c>
      <c r="K43">
        <f>Markowiz!K$8*Close!K$46*Rates!K44</f>
        <v>-740.30026622441403</v>
      </c>
      <c r="L43">
        <f>Markowiz!L$8*Close!L$46*Rates!L44</f>
        <v>-709.36038677974489</v>
      </c>
      <c r="M43" s="30">
        <f t="shared" si="0"/>
        <v>8843.3052334160657</v>
      </c>
    </row>
    <row r="44" spans="1:13" ht="12.75" customHeight="1">
      <c r="A44" s="25" t="str">
        <f>Close!A44</f>
        <v>15/11/23</v>
      </c>
      <c r="B44">
        <f>Markowiz!B$8*Close!B$46*Rates!B45*Close!$K$48/1000</f>
        <v>-3725.1575921259996</v>
      </c>
      <c r="C44">
        <f>Markowiz!C$8*Close!C$46*Rates!C45</f>
        <v>-560.90216685363851</v>
      </c>
      <c r="D44">
        <f>Markowiz!D$8*Close!D$46*Rates!D45</f>
        <v>-538.31176268468448</v>
      </c>
      <c r="E44">
        <f>Markowiz!E$8*Close!E$46*Rates!E45*Close!$K$48/1000</f>
        <v>733.13115263722557</v>
      </c>
      <c r="F44">
        <f>Markowiz!F$8*Close!F$46*Rates!F45</f>
        <v>-1761.4684228105082</v>
      </c>
      <c r="G44">
        <f>Markowiz!G$8*Close!G$46*Rates!G45*Close!$K$48/10</f>
        <v>-16878.29553191497</v>
      </c>
      <c r="H44">
        <f>Markowiz!H$8*Close!H$46*Rates!H45</f>
        <v>-238.38006339338415</v>
      </c>
      <c r="I44">
        <f>Markowiz!I$8*Close!I$46*Rates!I45</f>
        <v>-1121.4953271028062</v>
      </c>
      <c r="J44">
        <f>Markowiz!J$8*Close!J$46*Rates!J45</f>
        <v>-1243.4009447068629</v>
      </c>
      <c r="K44">
        <f>Markowiz!K$8*Close!K$46*Rates!K45</f>
        <v>12.18229137825988</v>
      </c>
      <c r="L44">
        <f>Markowiz!L$8*Close!L$46*Rates!L45</f>
        <v>140.69786139250252</v>
      </c>
      <c r="M44" s="30">
        <f t="shared" si="0"/>
        <v>-25181.400506184866</v>
      </c>
    </row>
    <row r="45" spans="1:13" ht="12.75" customHeight="1">
      <c r="A45" s="25" t="str">
        <f>Close!A45</f>
        <v>16/11/23</v>
      </c>
      <c r="B45">
        <f>Markowiz!B$8*Close!B$46*Rates!B46*Close!$K$48/1000</f>
        <v>2955.8397492319818</v>
      </c>
      <c r="C45">
        <f>Markowiz!C$8*Close!C$46*Rates!C46</f>
        <v>-385.93991212445553</v>
      </c>
      <c r="D45">
        <f>Markowiz!D$8*Close!D$46*Rates!D46</f>
        <v>529.70981114692779</v>
      </c>
      <c r="E45">
        <f>Markowiz!E$8*Close!E$46*Rates!E46*Close!$K$48/1000</f>
        <v>-156.67866582360554</v>
      </c>
      <c r="F45">
        <f>Markowiz!F$8*Close!F$46*Rates!F46</f>
        <v>1426.4597191426365</v>
      </c>
      <c r="G45">
        <f>Markowiz!G$8*Close!G$46*Rates!G46*Close!$K$48/10</f>
        <v>-20250.856885193476</v>
      </c>
      <c r="H45">
        <f>Markowiz!H$8*Close!H$46*Rates!H46</f>
        <v>-118.16192560174521</v>
      </c>
      <c r="I45">
        <f>Markowiz!I$8*Close!I$46*Rates!I46</f>
        <v>207.03933747412418</v>
      </c>
      <c r="J45">
        <f>Markowiz!J$8*Close!J$46*Rates!J46</f>
        <v>647.11261166210397</v>
      </c>
      <c r="K45">
        <f>Markowiz!K$8*Close!K$46*Rates!K46</f>
        <v>267.94512660960334</v>
      </c>
      <c r="L45">
        <f>Markowiz!L$8*Close!L$46*Rates!L46</f>
        <v>432.93513990217969</v>
      </c>
      <c r="M45" s="30">
        <f t="shared" si="0"/>
        <v>-14444.595893573727</v>
      </c>
    </row>
    <row r="46" spans="1:13" ht="12.75" customHeight="1">
      <c r="A46" s="25" t="str">
        <f>Close!A46</f>
        <v>17/11/23</v>
      </c>
      <c r="M46" s="30"/>
    </row>
    <row r="47" spans="1:13" ht="12.75" customHeight="1">
      <c r="A47" s="25" t="str">
        <f>Close!A47</f>
        <v>20/11/23</v>
      </c>
      <c r="M47" s="30"/>
    </row>
    <row r="48" spans="1:13" ht="12.75" customHeight="1">
      <c r="A48" s="25" t="str">
        <f>Close!A48</f>
        <v>21/11/23</v>
      </c>
      <c r="M48" s="30"/>
    </row>
    <row r="49" spans="1:13" ht="12.75" customHeight="1">
      <c r="A49" s="25"/>
      <c r="M49" s="30"/>
    </row>
    <row r="50" spans="1:13" ht="12.75" customHeight="1">
      <c r="A50" s="25"/>
      <c r="M50" s="30"/>
    </row>
    <row r="51" spans="1:13" ht="12.75" customHeight="1">
      <c r="A51" s="25"/>
      <c r="M51" s="30"/>
    </row>
    <row r="52" spans="1:13" ht="12.75" customHeight="1">
      <c r="A52" s="25"/>
      <c r="M52" s="30"/>
    </row>
    <row r="53" spans="1:13" ht="12.75" customHeight="1">
      <c r="A53" s="25"/>
      <c r="M53" s="30"/>
    </row>
    <row r="54" spans="1:13" ht="12.75" customHeight="1">
      <c r="A54" s="25"/>
      <c r="M54" s="30"/>
    </row>
    <row r="55" spans="1:13" ht="12.75" customHeight="1">
      <c r="A55" s="25"/>
      <c r="M55" s="30"/>
    </row>
    <row r="56" spans="1:13" ht="12.75" customHeight="1">
      <c r="A56" s="25"/>
      <c r="M56" s="30"/>
    </row>
    <row r="57" spans="1:13" ht="12.75" customHeight="1">
      <c r="A57" s="25"/>
      <c r="M57" s="30"/>
    </row>
    <row r="58" spans="1:13" ht="12.75" customHeight="1">
      <c r="A58" s="25"/>
      <c r="M58" s="30"/>
    </row>
    <row r="59" spans="1:13" ht="12.75" customHeight="1">
      <c r="A59" s="25"/>
      <c r="M59" s="30"/>
    </row>
    <row r="60" spans="1:13" ht="12.75" customHeight="1">
      <c r="A60" s="25"/>
      <c r="M60" s="30"/>
    </row>
    <row r="61" spans="1:13" ht="12.75" customHeight="1">
      <c r="A61" s="25"/>
      <c r="M61" s="30"/>
    </row>
    <row r="62" spans="1:13" ht="12.75" customHeight="1">
      <c r="A62" s="25"/>
      <c r="M62" s="30"/>
    </row>
    <row r="63" spans="1:13" ht="12.75" customHeight="1">
      <c r="A63" s="25"/>
      <c r="M63" s="30"/>
    </row>
    <row r="64" spans="1:13" ht="12.75" customHeight="1">
      <c r="A64" s="25"/>
      <c r="M64" s="30"/>
    </row>
    <row r="65" spans="1:13" ht="12.75" customHeight="1">
      <c r="A65" s="25"/>
      <c r="M65" s="30"/>
    </row>
    <row r="66" spans="1:13" ht="12.75" customHeight="1">
      <c r="A66" s="25"/>
      <c r="M66" s="30"/>
    </row>
    <row r="67" spans="1:13" ht="12.75" customHeight="1">
      <c r="A67" s="25"/>
      <c r="M67" s="30"/>
    </row>
    <row r="68" spans="1:13" ht="12.75" customHeight="1">
      <c r="A68" s="25"/>
      <c r="M68" s="30"/>
    </row>
    <row r="69" spans="1:13" ht="12.75" customHeight="1">
      <c r="A69" s="25"/>
      <c r="M69" s="30"/>
    </row>
    <row r="70" spans="1:13" ht="12.75" customHeight="1">
      <c r="A70" s="25"/>
      <c r="M70" s="30"/>
    </row>
    <row r="71" spans="1:13" ht="12.75" customHeight="1">
      <c r="A71" s="25"/>
      <c r="M71" s="30"/>
    </row>
    <row r="72" spans="1:13" ht="12.75" customHeight="1">
      <c r="A72" s="25"/>
      <c r="M72" s="30"/>
    </row>
    <row r="73" spans="1:13" ht="12.75" customHeight="1">
      <c r="A73" s="25"/>
      <c r="M73" s="30"/>
    </row>
    <row r="74" spans="1:13" ht="12.75" customHeight="1">
      <c r="A74" s="25"/>
      <c r="M74" s="30"/>
    </row>
    <row r="75" spans="1:13" ht="12.75" customHeight="1">
      <c r="A75" s="25"/>
      <c r="M75" s="30"/>
    </row>
    <row r="76" spans="1:13" ht="12.75" customHeight="1">
      <c r="A76" s="25"/>
      <c r="M76" s="30"/>
    </row>
    <row r="77" spans="1:13" ht="12.75" customHeight="1">
      <c r="A77" s="25"/>
      <c r="M77" s="30"/>
    </row>
    <row r="78" spans="1:13" ht="12.75" customHeight="1">
      <c r="A78" s="25"/>
      <c r="M78" s="30"/>
    </row>
    <row r="79" spans="1:13" ht="12.75" customHeight="1">
      <c r="A79" s="25"/>
      <c r="M79" s="30"/>
    </row>
    <row r="80" spans="1:13" ht="12.75" customHeight="1">
      <c r="A80" s="25"/>
      <c r="M80" s="30"/>
    </row>
    <row r="81" spans="1:13" ht="12.75" customHeight="1">
      <c r="A81" s="25"/>
      <c r="M81" s="30"/>
    </row>
    <row r="82" spans="1:13" ht="12.75" customHeight="1">
      <c r="A82" s="25"/>
      <c r="M82" s="30"/>
    </row>
    <row r="83" spans="1:13" ht="12.75" customHeight="1">
      <c r="A83" s="25"/>
      <c r="M83" s="30"/>
    </row>
    <row r="84" spans="1:13" ht="12.75" customHeight="1">
      <c r="A84" s="25"/>
      <c r="M84" s="30"/>
    </row>
    <row r="85" spans="1:13" ht="12.75" customHeight="1">
      <c r="A85" s="25"/>
      <c r="M85" s="30"/>
    </row>
    <row r="86" spans="1:13" ht="12.75" customHeight="1">
      <c r="A86" s="25"/>
      <c r="M86" s="30"/>
    </row>
    <row r="87" spans="1:13" ht="12.75" customHeight="1">
      <c r="A87" s="25"/>
      <c r="M87" s="30"/>
    </row>
    <row r="88" spans="1:13" ht="12.75" customHeight="1">
      <c r="A88" s="25"/>
      <c r="M88" s="30"/>
    </row>
    <row r="89" spans="1:13" ht="12.75" customHeight="1">
      <c r="A89" s="25"/>
      <c r="M89" s="30"/>
    </row>
    <row r="90" spans="1:13" ht="12.75" customHeight="1">
      <c r="A90" s="25"/>
      <c r="M90" s="30"/>
    </row>
    <row r="91" spans="1:13" ht="12.75" customHeight="1">
      <c r="A91" s="25"/>
      <c r="M91" s="30"/>
    </row>
    <row r="92" spans="1:13" ht="12.75" customHeight="1">
      <c r="A92" s="25"/>
      <c r="M92" s="30"/>
    </row>
    <row r="93" spans="1:13" ht="12.75" customHeight="1">
      <c r="A93" s="25"/>
      <c r="M93" s="30"/>
    </row>
    <row r="94" spans="1:13" ht="12.75" customHeight="1">
      <c r="A94" s="25"/>
      <c r="M94" s="30"/>
    </row>
    <row r="95" spans="1:13" ht="12.75" customHeight="1">
      <c r="A95" s="25"/>
      <c r="M95" s="30"/>
    </row>
    <row r="96" spans="1:13" ht="12.75" customHeight="1">
      <c r="A96" s="25"/>
      <c r="M96" s="30"/>
    </row>
    <row r="97" spans="1:13" ht="12.75" customHeight="1">
      <c r="A97" s="25"/>
      <c r="M97" s="30"/>
    </row>
    <row r="98" spans="1:13" ht="12.75" customHeight="1">
      <c r="A98" s="25"/>
      <c r="M98" s="30"/>
    </row>
    <row r="99" spans="1:13" ht="12.75" customHeight="1">
      <c r="A99" s="25"/>
      <c r="M99" s="30"/>
    </row>
    <row r="100" spans="1:13" ht="12.75" customHeight="1">
      <c r="A100" s="25"/>
      <c r="M100" s="30"/>
    </row>
    <row r="101" spans="1:13" ht="12.75" customHeight="1">
      <c r="A101" s="25"/>
      <c r="M101" s="30"/>
    </row>
    <row r="102" spans="1:13" ht="12.75" customHeight="1">
      <c r="A102" s="25"/>
      <c r="M102" s="30"/>
    </row>
    <row r="103" spans="1:13" ht="12.75" customHeight="1">
      <c r="A103" s="25"/>
      <c r="M103" s="30"/>
    </row>
    <row r="104" spans="1:13" ht="12.75" customHeight="1">
      <c r="A104" s="25"/>
      <c r="M104" s="30"/>
    </row>
    <row r="105" spans="1:13" ht="12.75" customHeight="1">
      <c r="A105" s="25"/>
      <c r="M105" s="30"/>
    </row>
    <row r="106" spans="1:13" ht="12.75" customHeight="1">
      <c r="A106" s="25"/>
      <c r="M106" s="30"/>
    </row>
    <row r="107" spans="1:13" ht="12.75" customHeight="1">
      <c r="A107" s="25"/>
      <c r="M107" s="30"/>
    </row>
    <row r="108" spans="1:13" ht="12.75" customHeight="1">
      <c r="A108" s="25"/>
      <c r="M108" s="30"/>
    </row>
    <row r="109" spans="1:13" ht="12.75" customHeight="1">
      <c r="A109" s="25"/>
      <c r="M109" s="30"/>
    </row>
    <row r="110" spans="1:13" ht="12.75" customHeight="1">
      <c r="A110" s="25"/>
      <c r="M110" s="30"/>
    </row>
    <row r="111" spans="1:13" ht="12.75" customHeight="1">
      <c r="A111" s="25"/>
      <c r="M111" s="30"/>
    </row>
    <row r="112" spans="1:13" ht="12.75" customHeight="1">
      <c r="A112" s="25"/>
      <c r="M112" s="30"/>
    </row>
    <row r="113" spans="1:13" ht="12.75" customHeight="1">
      <c r="A113" s="25"/>
      <c r="M113" s="30"/>
    </row>
    <row r="114" spans="1:13" ht="12.75" customHeight="1">
      <c r="A114" s="25"/>
      <c r="M114" s="30"/>
    </row>
    <row r="115" spans="1:13" ht="12.75" customHeight="1">
      <c r="A115" s="25"/>
      <c r="M115" s="30"/>
    </row>
    <row r="116" spans="1:13" ht="12.75" customHeight="1">
      <c r="A116" s="25"/>
      <c r="M116" s="30"/>
    </row>
    <row r="117" spans="1:13" ht="12.75" customHeight="1">
      <c r="A117" s="25"/>
      <c r="M117" s="30"/>
    </row>
    <row r="118" spans="1:13" ht="12.75" customHeight="1">
      <c r="A118" s="25"/>
      <c r="M118" s="30"/>
    </row>
    <row r="119" spans="1:13" ht="12.75" customHeight="1">
      <c r="A119" s="25"/>
      <c r="M119" s="30"/>
    </row>
    <row r="120" spans="1:13" ht="12.75" customHeight="1">
      <c r="A120" s="25"/>
      <c r="M120" s="30"/>
    </row>
    <row r="121" spans="1:13" ht="12.75" customHeight="1">
      <c r="A121" s="25"/>
      <c r="M121" s="30"/>
    </row>
    <row r="122" spans="1:13" ht="12.75" customHeight="1">
      <c r="A122" s="25"/>
      <c r="M122" s="30"/>
    </row>
    <row r="123" spans="1:13" ht="12.75" customHeight="1">
      <c r="A123" s="25"/>
      <c r="M123" s="30"/>
    </row>
    <row r="124" spans="1:13" ht="12.75" customHeight="1">
      <c r="A124" s="25"/>
      <c r="M124" s="30"/>
    </row>
    <row r="125" spans="1:13" ht="12.75" customHeight="1">
      <c r="A125" s="25"/>
      <c r="M125" s="30"/>
    </row>
    <row r="126" spans="1:13" ht="12.75" customHeight="1">
      <c r="A126" s="25"/>
      <c r="M126" s="30"/>
    </row>
    <row r="127" spans="1:13" ht="12.75" customHeight="1">
      <c r="A127" s="25"/>
      <c r="M127" s="30"/>
    </row>
    <row r="128" spans="1:13" ht="12.75" customHeight="1">
      <c r="A128" s="25"/>
      <c r="M128" s="30"/>
    </row>
    <row r="129" spans="1:13" ht="12.75" customHeight="1">
      <c r="A129" s="25"/>
      <c r="M129" s="30"/>
    </row>
    <row r="130" spans="1:13" ht="12.75" customHeight="1">
      <c r="A130" s="25"/>
      <c r="M130" s="30"/>
    </row>
    <row r="131" spans="1:13" ht="12.75" customHeight="1">
      <c r="A131" s="25"/>
      <c r="M131" s="30"/>
    </row>
    <row r="132" spans="1:13" ht="12.75" customHeight="1">
      <c r="A132" s="25"/>
      <c r="M132" s="30"/>
    </row>
    <row r="133" spans="1:13" ht="12.75" customHeight="1">
      <c r="A133" s="25"/>
      <c r="M133" s="30"/>
    </row>
    <row r="134" spans="1:13" ht="12.75" customHeight="1">
      <c r="A134" s="25"/>
      <c r="M134" s="30"/>
    </row>
    <row r="135" spans="1:13" ht="12.75" customHeight="1">
      <c r="A135" s="25"/>
      <c r="M135" s="30"/>
    </row>
    <row r="136" spans="1:13" ht="12.75" customHeight="1">
      <c r="A136" s="25"/>
      <c r="M136" s="30"/>
    </row>
    <row r="137" spans="1:13" ht="12.75" customHeight="1">
      <c r="A137" s="25"/>
      <c r="M137" s="30"/>
    </row>
    <row r="138" spans="1:13" ht="12.75" customHeight="1">
      <c r="A138" s="25"/>
      <c r="M138" s="30"/>
    </row>
    <row r="139" spans="1:13" ht="12.75" customHeight="1">
      <c r="A139" s="25"/>
      <c r="M139" s="30"/>
    </row>
    <row r="140" spans="1:13" ht="12.75" customHeight="1">
      <c r="A140" s="25"/>
      <c r="M140" s="30"/>
    </row>
    <row r="141" spans="1:13" ht="12.75" customHeight="1">
      <c r="A141" s="25"/>
      <c r="M141" s="30"/>
    </row>
    <row r="142" spans="1:13" ht="12.75" customHeight="1">
      <c r="A142" s="25"/>
      <c r="M142" s="30"/>
    </row>
    <row r="143" spans="1:13" ht="12.75" customHeight="1">
      <c r="A143" s="25"/>
      <c r="M143" s="30"/>
    </row>
    <row r="144" spans="1:13" ht="12.75" customHeight="1">
      <c r="A144" s="25"/>
      <c r="M144" s="30"/>
    </row>
    <row r="145" spans="1:13" ht="12.75" customHeight="1">
      <c r="A145" s="25"/>
      <c r="M145" s="30"/>
    </row>
    <row r="146" spans="1:13" ht="12.75" customHeight="1">
      <c r="A146" s="25"/>
      <c r="M146" s="30"/>
    </row>
    <row r="147" spans="1:13" ht="12.75" customHeight="1">
      <c r="A147" s="25"/>
      <c r="M147" s="30"/>
    </row>
    <row r="148" spans="1:13" ht="12.75" customHeight="1">
      <c r="A148" s="25"/>
      <c r="M148" s="30"/>
    </row>
    <row r="149" spans="1:13" ht="12.75" customHeight="1">
      <c r="A149" s="25"/>
      <c r="M149" s="30"/>
    </row>
    <row r="150" spans="1:13" ht="12.75" customHeight="1">
      <c r="A150" s="25"/>
      <c r="M150" s="30"/>
    </row>
    <row r="151" spans="1:13" ht="12.75" customHeight="1">
      <c r="A151" s="25"/>
      <c r="M151" s="30"/>
    </row>
    <row r="152" spans="1:13" ht="12.75" customHeight="1">
      <c r="A152" s="25"/>
      <c r="M152" s="30"/>
    </row>
    <row r="153" spans="1:13" ht="12.75" customHeight="1">
      <c r="A153" s="25"/>
      <c r="M153" s="30"/>
    </row>
    <row r="154" spans="1:13" ht="12.75" customHeight="1">
      <c r="A154" s="25"/>
      <c r="M154" s="30"/>
    </row>
    <row r="155" spans="1:13" ht="12.75" customHeight="1">
      <c r="A155" s="25"/>
      <c r="M155" s="30"/>
    </row>
    <row r="156" spans="1:13" ht="12.75" customHeight="1">
      <c r="A156" s="25"/>
      <c r="M156" s="30"/>
    </row>
    <row r="157" spans="1:13" ht="12.75" customHeight="1">
      <c r="A157" s="25"/>
      <c r="M157" s="30"/>
    </row>
    <row r="158" spans="1:13" ht="12.75" customHeight="1">
      <c r="A158" s="25"/>
      <c r="M158" s="30"/>
    </row>
    <row r="159" spans="1:13" ht="12.75" customHeight="1">
      <c r="A159" s="25"/>
      <c r="M159" s="30"/>
    </row>
    <row r="160" spans="1:13" ht="12.75" customHeight="1">
      <c r="A160" s="25"/>
      <c r="M160" s="30"/>
    </row>
    <row r="161" spans="1:13" ht="12.75" customHeight="1">
      <c r="A161" s="25"/>
      <c r="M161" s="30"/>
    </row>
    <row r="162" spans="1:13" ht="12.75" customHeight="1">
      <c r="A162" s="25"/>
      <c r="M162" s="30"/>
    </row>
    <row r="163" spans="1:13" ht="12.75" customHeight="1">
      <c r="A163" s="25"/>
      <c r="M163" s="30"/>
    </row>
    <row r="164" spans="1:13" ht="12.75" customHeight="1">
      <c r="A164" s="25"/>
      <c r="M164" s="30"/>
    </row>
    <row r="165" spans="1:13" ht="12.75" customHeight="1">
      <c r="A165" s="25"/>
      <c r="M165" s="30"/>
    </row>
    <row r="166" spans="1:13" ht="12.75" customHeight="1">
      <c r="A166" s="25"/>
      <c r="M166" s="30"/>
    </row>
    <row r="167" spans="1:13" ht="12.75" customHeight="1">
      <c r="A167" s="25"/>
      <c r="M167" s="30"/>
    </row>
    <row r="168" spans="1:13" ht="12.75" customHeight="1">
      <c r="A168" s="25"/>
      <c r="M168" s="30"/>
    </row>
    <row r="169" spans="1:13" ht="12.75" customHeight="1">
      <c r="A169" s="25"/>
      <c r="M169" s="30"/>
    </row>
    <row r="170" spans="1:13" ht="12.75" customHeight="1">
      <c r="A170" s="25"/>
      <c r="M170" s="30"/>
    </row>
    <row r="171" spans="1:13" ht="12.75" customHeight="1">
      <c r="A171" s="25"/>
      <c r="M171" s="30"/>
    </row>
    <row r="172" spans="1:13" ht="12.75" customHeight="1">
      <c r="A172" s="25"/>
      <c r="M172" s="30"/>
    </row>
    <row r="173" spans="1:13" ht="12.75" customHeight="1">
      <c r="A173" s="25"/>
      <c r="M173" s="30"/>
    </row>
    <row r="174" spans="1:13" ht="12.75" customHeight="1">
      <c r="A174" s="25"/>
      <c r="M174" s="30"/>
    </row>
    <row r="175" spans="1:13" ht="12.75" customHeight="1">
      <c r="A175" s="25"/>
      <c r="M175" s="30"/>
    </row>
    <row r="176" spans="1:13" ht="12.75" customHeight="1">
      <c r="A176" s="25"/>
      <c r="M176" s="30"/>
    </row>
    <row r="177" spans="1:13" ht="12.75" customHeight="1">
      <c r="A177" s="25"/>
      <c r="M177" s="30"/>
    </row>
    <row r="178" spans="1:13" ht="12.75" customHeight="1">
      <c r="A178" s="25"/>
      <c r="M178" s="30"/>
    </row>
    <row r="179" spans="1:13" ht="12.75" customHeight="1">
      <c r="A179" s="25"/>
      <c r="M179" s="30"/>
    </row>
    <row r="180" spans="1:13" ht="12.75" customHeight="1">
      <c r="A180" s="25"/>
      <c r="M180" s="30"/>
    </row>
    <row r="181" spans="1:13" ht="12.75" customHeight="1">
      <c r="A181" s="25"/>
      <c r="M181" s="30"/>
    </row>
    <row r="182" spans="1:13" ht="12.75" customHeight="1">
      <c r="A182" s="25"/>
      <c r="M182" s="30"/>
    </row>
    <row r="183" spans="1:13" ht="12.75" customHeight="1">
      <c r="A183" s="25"/>
      <c r="M183" s="30"/>
    </row>
    <row r="184" spans="1:13" ht="12.75" customHeight="1">
      <c r="A184" s="25"/>
      <c r="M184" s="30"/>
    </row>
    <row r="185" spans="1:13" ht="12.75" customHeight="1">
      <c r="A185" s="25"/>
      <c r="M185" s="30"/>
    </row>
    <row r="186" spans="1:13" ht="12.75" customHeight="1">
      <c r="A186" s="25"/>
      <c r="M186" s="30"/>
    </row>
    <row r="187" spans="1:13" ht="12.75" customHeight="1">
      <c r="A187" s="25"/>
      <c r="M187" s="30"/>
    </row>
    <row r="188" spans="1:13" ht="12.75" customHeight="1">
      <c r="A188" s="25"/>
      <c r="M188" s="30"/>
    </row>
    <row r="189" spans="1:13" ht="12.75" customHeight="1">
      <c r="A189" s="25"/>
      <c r="M189" s="30"/>
    </row>
    <row r="190" spans="1:13" ht="12.75" customHeight="1">
      <c r="A190" s="25"/>
      <c r="M190" s="30"/>
    </row>
    <row r="191" spans="1:13" ht="12.75" customHeight="1">
      <c r="A191" s="25"/>
      <c r="M191" s="30"/>
    </row>
    <row r="192" spans="1:13" ht="12.75" customHeight="1">
      <c r="A192" s="25"/>
      <c r="M192" s="30"/>
    </row>
    <row r="193" spans="1:13" ht="12.75" customHeight="1">
      <c r="A193" s="25"/>
      <c r="M193" s="30"/>
    </row>
    <row r="194" spans="1:13" ht="12.75" customHeight="1">
      <c r="A194" s="25"/>
      <c r="M194" s="30"/>
    </row>
    <row r="195" spans="1:13" ht="12.75" customHeight="1">
      <c r="A195" s="25"/>
      <c r="M195" s="30"/>
    </row>
    <row r="196" spans="1:13" ht="12.75" customHeight="1">
      <c r="A196" s="25"/>
      <c r="M196" s="30"/>
    </row>
    <row r="197" spans="1:13" ht="12.75" customHeight="1">
      <c r="A197" s="25"/>
      <c r="M197" s="30"/>
    </row>
    <row r="198" spans="1:13" ht="12.75" customHeight="1">
      <c r="A198" s="25"/>
      <c r="M198" s="30"/>
    </row>
    <row r="199" spans="1:13" ht="12.75" customHeight="1">
      <c r="A199" s="25"/>
      <c r="M199" s="30"/>
    </row>
    <row r="200" spans="1:13" ht="12.75" customHeight="1">
      <c r="A200" s="25"/>
      <c r="M200" s="30"/>
    </row>
    <row r="201" spans="1:13" ht="12.75" customHeight="1">
      <c r="A201" s="25"/>
      <c r="M201" s="30"/>
    </row>
    <row r="202" spans="1:13" ht="12.75" customHeight="1">
      <c r="A202" s="25"/>
      <c r="M202" s="30"/>
    </row>
    <row r="203" spans="1:13" ht="12.75" customHeight="1">
      <c r="A203" s="25"/>
      <c r="M203" s="30"/>
    </row>
    <row r="204" spans="1:13" ht="12.75" customHeight="1">
      <c r="A204" s="25"/>
      <c r="M204" s="30"/>
    </row>
    <row r="205" spans="1:13" ht="12.75" customHeight="1">
      <c r="A205" s="25"/>
      <c r="M205" s="30"/>
    </row>
    <row r="206" spans="1:13" ht="12.75" customHeight="1">
      <c r="A206" s="25"/>
      <c r="M206" s="30"/>
    </row>
    <row r="207" spans="1:13" ht="12.75" customHeight="1">
      <c r="A207" s="25"/>
      <c r="M207" s="30"/>
    </row>
    <row r="208" spans="1:13" ht="12.75" customHeight="1">
      <c r="A208" s="25"/>
      <c r="M208" s="30"/>
    </row>
    <row r="209" spans="1:13" ht="12.75" customHeight="1">
      <c r="A209" s="25"/>
      <c r="M209" s="30"/>
    </row>
    <row r="210" spans="1:13" ht="12.75" customHeight="1">
      <c r="A210" s="25"/>
      <c r="M210" s="30"/>
    </row>
    <row r="211" spans="1:13" ht="12.75" customHeight="1">
      <c r="A211" s="25"/>
      <c r="M211" s="30"/>
    </row>
    <row r="212" spans="1:13" ht="12.75" customHeight="1">
      <c r="A212" s="25"/>
      <c r="M212" s="30"/>
    </row>
    <row r="213" spans="1:13" ht="12.75" customHeight="1">
      <c r="A213" s="25"/>
      <c r="M213" s="30"/>
    </row>
    <row r="214" spans="1:13" ht="12.75" customHeight="1">
      <c r="A214" s="25"/>
      <c r="M214" s="30"/>
    </row>
    <row r="215" spans="1:13" ht="12.75" customHeight="1">
      <c r="A215" s="25"/>
      <c r="M215" s="30"/>
    </row>
    <row r="216" spans="1:13" ht="12.75" customHeight="1">
      <c r="A216" s="25"/>
      <c r="M216" s="30"/>
    </row>
    <row r="217" spans="1:13" ht="12.75" customHeight="1">
      <c r="A217" s="25"/>
      <c r="M217" s="30"/>
    </row>
    <row r="218" spans="1:13" ht="12.75" customHeight="1">
      <c r="A218" s="25"/>
      <c r="M218" s="30"/>
    </row>
    <row r="219" spans="1:13" ht="12.75" customHeight="1">
      <c r="A219" s="25"/>
      <c r="M219" s="30"/>
    </row>
    <row r="220" spans="1:13" ht="12.75" customHeight="1">
      <c r="A220" s="25"/>
      <c r="M220" s="30"/>
    </row>
    <row r="221" spans="1:13" ht="12.75" customHeight="1">
      <c r="A221" s="25"/>
      <c r="M221" s="30"/>
    </row>
    <row r="222" spans="1:13" ht="12.75" customHeight="1">
      <c r="A222" s="25"/>
      <c r="M222" s="30"/>
    </row>
    <row r="223" spans="1:13" ht="12.75" customHeight="1">
      <c r="A223" s="25"/>
      <c r="M223" s="30"/>
    </row>
    <row r="224" spans="1:13" ht="12.75" customHeight="1">
      <c r="A224" s="25"/>
      <c r="M224" s="30"/>
    </row>
    <row r="225" spans="13:13" ht="12.75" customHeight="1">
      <c r="M225" s="30"/>
    </row>
    <row r="226" spans="13:13" ht="12.75" customHeight="1">
      <c r="M226" s="30"/>
    </row>
    <row r="227" spans="13:13" ht="12.75" customHeight="1">
      <c r="M227" s="30"/>
    </row>
    <row r="228" spans="13:13" ht="12.75" customHeight="1">
      <c r="M228" s="30"/>
    </row>
    <row r="229" spans="13:13" ht="12.75" customHeight="1">
      <c r="M229" s="30"/>
    </row>
    <row r="230" spans="13:13" ht="12.75" customHeight="1">
      <c r="M230" s="30"/>
    </row>
    <row r="231" spans="13:13" ht="12.75" customHeight="1">
      <c r="M231" s="30"/>
    </row>
    <row r="232" spans="13:13" ht="12.75" customHeight="1">
      <c r="M232" s="30"/>
    </row>
    <row r="233" spans="13:13" ht="12.75" customHeight="1">
      <c r="M233" s="30"/>
    </row>
    <row r="234" spans="13:13" ht="12.75" customHeight="1">
      <c r="M234" s="30"/>
    </row>
    <row r="235" spans="13:13" ht="12.75" customHeight="1">
      <c r="M235" s="30"/>
    </row>
    <row r="236" spans="13:13" ht="12.75" customHeight="1">
      <c r="M236" s="30"/>
    </row>
    <row r="237" spans="13:13" ht="12.75" customHeight="1">
      <c r="M237" s="30"/>
    </row>
    <row r="238" spans="13:13" ht="12.75" customHeight="1">
      <c r="M238" s="30"/>
    </row>
    <row r="239" spans="13:13" ht="12.75" customHeight="1">
      <c r="M239" s="30"/>
    </row>
    <row r="240" spans="13:13" ht="12.75" customHeight="1">
      <c r="M240" s="30"/>
    </row>
    <row r="241" spans="13:13" ht="12.75" customHeight="1">
      <c r="M241" s="30"/>
    </row>
    <row r="242" spans="13:13" ht="12.75" customHeight="1">
      <c r="M242" s="30"/>
    </row>
    <row r="243" spans="13:13" ht="12.75" customHeight="1">
      <c r="M243" s="30"/>
    </row>
    <row r="244" spans="13:13" ht="12.75" customHeight="1">
      <c r="M244" s="30"/>
    </row>
    <row r="245" spans="13:13" ht="12.75" customHeight="1">
      <c r="M245" s="30"/>
    </row>
    <row r="246" spans="13:13" ht="12.75" customHeight="1">
      <c r="M246" s="30"/>
    </row>
    <row r="247" spans="13:13" ht="12.75" customHeight="1">
      <c r="M247" s="30"/>
    </row>
    <row r="248" spans="13:13" ht="12.75" customHeight="1">
      <c r="M248" s="30"/>
    </row>
    <row r="249" spans="13:13" ht="12.75" customHeight="1">
      <c r="M249" s="30"/>
    </row>
    <row r="250" spans="13:13" ht="12.75" customHeight="1">
      <c r="M250" s="30"/>
    </row>
    <row r="251" spans="13:13" ht="12.75" customHeight="1">
      <c r="M251" s="30"/>
    </row>
    <row r="252" spans="13:13" ht="12.75" customHeight="1">
      <c r="M252" s="30"/>
    </row>
    <row r="253" spans="13:13" ht="12.75" customHeight="1">
      <c r="M253" s="30"/>
    </row>
    <row r="254" spans="13:13" ht="12.75" customHeight="1">
      <c r="M254" s="30"/>
    </row>
    <row r="255" spans="13:13" ht="12.75" customHeight="1">
      <c r="M255" s="30"/>
    </row>
    <row r="256" spans="13:13" ht="12.75" customHeight="1">
      <c r="M256" s="30"/>
    </row>
    <row r="257" spans="13:13" ht="12.75" customHeight="1">
      <c r="M257" s="30"/>
    </row>
    <row r="258" spans="13:13" ht="12.75" customHeight="1">
      <c r="M258" s="30"/>
    </row>
    <row r="259" spans="13:13" ht="12.75" customHeight="1">
      <c r="M259" s="30"/>
    </row>
    <row r="260" spans="13:13" ht="12.75" customHeight="1">
      <c r="M260" s="30"/>
    </row>
    <row r="261" spans="13:13" ht="12.75" customHeight="1">
      <c r="M261" s="30"/>
    </row>
    <row r="262" spans="13:13" ht="12.75" customHeight="1">
      <c r="M262" s="30"/>
    </row>
    <row r="263" spans="13:13" ht="12.75" customHeight="1">
      <c r="M263" s="30"/>
    </row>
    <row r="264" spans="13:13" ht="12.75" customHeight="1">
      <c r="M264" s="30"/>
    </row>
    <row r="265" spans="13:13" ht="12.75" customHeight="1">
      <c r="M265" s="30"/>
    </row>
    <row r="266" spans="13:13" ht="12.75" customHeight="1">
      <c r="M266" s="30"/>
    </row>
    <row r="267" spans="13:13" ht="12.75" customHeight="1">
      <c r="M267" s="30"/>
    </row>
    <row r="268" spans="13:13" ht="12.75" customHeight="1">
      <c r="M268" s="30"/>
    </row>
    <row r="269" spans="13:13" ht="12.75" customHeight="1">
      <c r="M269" s="30"/>
    </row>
    <row r="270" spans="13:13" ht="12.75" customHeight="1">
      <c r="M270" s="30"/>
    </row>
    <row r="271" spans="13:13" ht="12.75" customHeight="1">
      <c r="M271" s="30"/>
    </row>
    <row r="272" spans="13:13" ht="12.75" customHeight="1">
      <c r="M272" s="30"/>
    </row>
    <row r="273" spans="13:13" ht="12.75" customHeight="1">
      <c r="M273" s="30"/>
    </row>
    <row r="274" spans="13:13" ht="12.75" customHeight="1">
      <c r="M274" s="30"/>
    </row>
    <row r="275" spans="13:13" ht="12.75" customHeight="1">
      <c r="M275" s="30"/>
    </row>
    <row r="276" spans="13:13" ht="12.75" customHeight="1">
      <c r="M276" s="30"/>
    </row>
    <row r="277" spans="13:13" ht="12.75" customHeight="1">
      <c r="M277" s="30"/>
    </row>
    <row r="278" spans="13:13" ht="12.75" customHeight="1">
      <c r="M278" s="30"/>
    </row>
    <row r="279" spans="13:13" ht="12.75" customHeight="1">
      <c r="M279" s="30"/>
    </row>
    <row r="280" spans="13:13" ht="12.75" customHeight="1">
      <c r="M280" s="30"/>
    </row>
    <row r="281" spans="13:13" ht="12.75" customHeight="1">
      <c r="M281" s="30"/>
    </row>
    <row r="282" spans="13:13" ht="12.75" customHeight="1">
      <c r="M282" s="30"/>
    </row>
    <row r="283" spans="13:13" ht="12.75" customHeight="1">
      <c r="M283" s="30"/>
    </row>
    <row r="284" spans="13:13" ht="12.75" customHeight="1">
      <c r="M284" s="30"/>
    </row>
    <row r="285" spans="13:13" ht="12.75" customHeight="1">
      <c r="M285" s="30"/>
    </row>
    <row r="286" spans="13:13" ht="12.75" customHeight="1">
      <c r="M286" s="30"/>
    </row>
    <row r="287" spans="13:13" ht="12.75" customHeight="1">
      <c r="M287" s="30"/>
    </row>
    <row r="288" spans="13:13" ht="12.75" customHeight="1">
      <c r="M288" s="30"/>
    </row>
    <row r="289" spans="13:13" ht="12.75" customHeight="1">
      <c r="M289" s="30"/>
    </row>
    <row r="290" spans="13:13" ht="12.75" customHeight="1">
      <c r="M290" s="30"/>
    </row>
    <row r="291" spans="13:13" ht="12.75" customHeight="1">
      <c r="M291" s="30"/>
    </row>
    <row r="292" spans="13:13" ht="12.75" customHeight="1">
      <c r="M292" s="30"/>
    </row>
    <row r="293" spans="13:13" ht="12.75" customHeight="1">
      <c r="M293" s="30"/>
    </row>
    <row r="294" spans="13:13" ht="12.75" customHeight="1">
      <c r="M294" s="30"/>
    </row>
    <row r="295" spans="13:13" ht="12.75" customHeight="1">
      <c r="M295" s="30"/>
    </row>
    <row r="296" spans="13:13" ht="12.75" customHeight="1">
      <c r="M296" s="30"/>
    </row>
    <row r="297" spans="13:13" ht="12.75" customHeight="1">
      <c r="M297" s="30"/>
    </row>
    <row r="298" spans="13:13" ht="12.75" customHeight="1">
      <c r="M298" s="30"/>
    </row>
    <row r="299" spans="13:13" ht="12.75" customHeight="1">
      <c r="M299" s="30"/>
    </row>
    <row r="300" spans="13:13" ht="12.75" customHeight="1">
      <c r="M300" s="30"/>
    </row>
    <row r="301" spans="13:13" ht="12.75" customHeight="1">
      <c r="M301" s="30"/>
    </row>
    <row r="302" spans="13:13" ht="12.75" customHeight="1">
      <c r="M302" s="30"/>
    </row>
    <row r="303" spans="13:13" ht="12.75" customHeight="1">
      <c r="M303" s="30"/>
    </row>
    <row r="304" spans="13:13" ht="12.75" customHeight="1">
      <c r="M304" s="30"/>
    </row>
    <row r="305" spans="13:13" ht="12.75" customHeight="1">
      <c r="M305" s="30"/>
    </row>
    <row r="306" spans="13:13" ht="12.75" customHeight="1">
      <c r="M306" s="30"/>
    </row>
    <row r="307" spans="13:13" ht="12.75" customHeight="1">
      <c r="M307" s="30"/>
    </row>
    <row r="308" spans="13:13" ht="12.75" customHeight="1">
      <c r="M308" s="30"/>
    </row>
    <row r="309" spans="13:13" ht="12.75" customHeight="1">
      <c r="M309" s="30"/>
    </row>
    <row r="310" spans="13:13" ht="12.75" customHeight="1">
      <c r="M310" s="30"/>
    </row>
    <row r="311" spans="13:13" ht="12.75" customHeight="1">
      <c r="M311" s="30"/>
    </row>
    <row r="312" spans="13:13" ht="12.75" customHeight="1">
      <c r="M312" s="30"/>
    </row>
    <row r="313" spans="13:13" ht="12.75" customHeight="1">
      <c r="M313" s="30"/>
    </row>
    <row r="314" spans="13:13" ht="12.75" customHeight="1">
      <c r="M314" s="30"/>
    </row>
    <row r="315" spans="13:13" ht="12.75" customHeight="1">
      <c r="M315" s="30"/>
    </row>
    <row r="316" spans="13:13" ht="12.75" customHeight="1">
      <c r="M316" s="30"/>
    </row>
    <row r="317" spans="13:13" ht="12.75" customHeight="1">
      <c r="M317" s="30"/>
    </row>
    <row r="318" spans="13:13" ht="12.75" customHeight="1">
      <c r="M318" s="30"/>
    </row>
    <row r="319" spans="13:13" ht="12.75" customHeight="1">
      <c r="M319" s="30"/>
    </row>
    <row r="320" spans="13:13" ht="12.75" customHeight="1">
      <c r="M320" s="30"/>
    </row>
    <row r="321" spans="13:13" ht="12.75" customHeight="1">
      <c r="M321" s="30"/>
    </row>
    <row r="322" spans="13:13" ht="12.75" customHeight="1">
      <c r="M322" s="30"/>
    </row>
    <row r="323" spans="13:13" ht="12.75" customHeight="1">
      <c r="M323" s="30"/>
    </row>
    <row r="324" spans="13:13" ht="12.75" customHeight="1">
      <c r="M324" s="30"/>
    </row>
    <row r="325" spans="13:13" ht="12.75" customHeight="1">
      <c r="M325" s="30"/>
    </row>
    <row r="326" spans="13:13" ht="12.75" customHeight="1">
      <c r="M326" s="30"/>
    </row>
    <row r="327" spans="13:13" ht="12.75" customHeight="1">
      <c r="M327" s="30"/>
    </row>
    <row r="328" spans="13:13" ht="12.75" customHeight="1">
      <c r="M328" s="30"/>
    </row>
    <row r="329" spans="13:13" ht="12.75" customHeight="1">
      <c r="M329" s="30"/>
    </row>
    <row r="330" spans="13:13" ht="12.75" customHeight="1">
      <c r="M330" s="30"/>
    </row>
    <row r="331" spans="13:13" ht="12.75" customHeight="1">
      <c r="M331" s="30"/>
    </row>
    <row r="332" spans="13:13" ht="12.75" customHeight="1">
      <c r="M332" s="30"/>
    </row>
    <row r="333" spans="13:13" ht="12.75" customHeight="1">
      <c r="M333" s="30"/>
    </row>
    <row r="334" spans="13:13" ht="12.75" customHeight="1">
      <c r="M334" s="30"/>
    </row>
    <row r="335" spans="13:13" ht="12.75" customHeight="1">
      <c r="M335" s="30"/>
    </row>
    <row r="336" spans="13:13" ht="12.75" customHeight="1">
      <c r="M336" s="30"/>
    </row>
    <row r="337" spans="13:13" ht="12.75" customHeight="1">
      <c r="M337" s="30"/>
    </row>
    <row r="338" spans="13:13" ht="12.75" customHeight="1">
      <c r="M338" s="30"/>
    </row>
    <row r="339" spans="13:13" ht="12.75" customHeight="1">
      <c r="M339" s="30"/>
    </row>
    <row r="340" spans="13:13" ht="12.75" customHeight="1">
      <c r="M340" s="30"/>
    </row>
    <row r="341" spans="13:13" ht="12.75" customHeight="1">
      <c r="M341" s="30"/>
    </row>
    <row r="342" spans="13:13" ht="12.75" customHeight="1">
      <c r="M342" s="30"/>
    </row>
    <row r="343" spans="13:13" ht="12.75" customHeight="1">
      <c r="M343" s="30"/>
    </row>
    <row r="344" spans="13:13" ht="12.75" customHeight="1">
      <c r="M344" s="30"/>
    </row>
    <row r="345" spans="13:13" ht="12.75" customHeight="1">
      <c r="M345" s="30"/>
    </row>
    <row r="346" spans="13:13" ht="12.75" customHeight="1">
      <c r="M346" s="30"/>
    </row>
    <row r="347" spans="13:13" ht="12.75" customHeight="1">
      <c r="M347" s="30"/>
    </row>
    <row r="348" spans="13:13" ht="12.75" customHeight="1">
      <c r="M348" s="30"/>
    </row>
    <row r="349" spans="13:13" ht="12.75" customHeight="1">
      <c r="M349" s="30"/>
    </row>
    <row r="350" spans="13:13" ht="12.75" customHeight="1">
      <c r="M350" s="30"/>
    </row>
    <row r="351" spans="13:13" ht="12.75" customHeight="1">
      <c r="M351" s="30"/>
    </row>
    <row r="352" spans="13:13" ht="12.75" customHeight="1">
      <c r="M352" s="30"/>
    </row>
    <row r="353" spans="13:13" ht="12.75" customHeight="1">
      <c r="M353" s="30"/>
    </row>
    <row r="354" spans="13:13" ht="12.75" customHeight="1">
      <c r="M354" s="30"/>
    </row>
    <row r="355" spans="13:13" ht="12.75" customHeight="1">
      <c r="M355" s="30"/>
    </row>
    <row r="356" spans="13:13" ht="12.75" customHeight="1">
      <c r="M356" s="30"/>
    </row>
    <row r="357" spans="13:13" ht="12.75" customHeight="1">
      <c r="M357" s="30"/>
    </row>
    <row r="358" spans="13:13" ht="12.75" customHeight="1">
      <c r="M358" s="30"/>
    </row>
    <row r="359" spans="13:13" ht="12.75" customHeight="1">
      <c r="M359" s="30"/>
    </row>
    <row r="360" spans="13:13" ht="12.75" customHeight="1">
      <c r="M360" s="30"/>
    </row>
    <row r="361" spans="13:13" ht="12.75" customHeight="1">
      <c r="M361" s="30"/>
    </row>
    <row r="362" spans="13:13" ht="12.75" customHeight="1">
      <c r="M362" s="30"/>
    </row>
    <row r="363" spans="13:13" ht="12.75" customHeight="1">
      <c r="M363" s="30"/>
    </row>
    <row r="364" spans="13:13" ht="12.75" customHeight="1">
      <c r="M364" s="30"/>
    </row>
    <row r="365" spans="13:13" ht="12.75" customHeight="1">
      <c r="M365" s="30"/>
    </row>
    <row r="366" spans="13:13" ht="12.75" customHeight="1">
      <c r="M366" s="30"/>
    </row>
    <row r="367" spans="13:13" ht="12.75" customHeight="1">
      <c r="M367" s="30"/>
    </row>
    <row r="368" spans="13:13" ht="12.75" customHeight="1">
      <c r="M368" s="30"/>
    </row>
    <row r="369" spans="13:13" ht="12.75" customHeight="1">
      <c r="M369" s="30"/>
    </row>
    <row r="370" spans="13:13" ht="12.75" customHeight="1">
      <c r="M370" s="30"/>
    </row>
    <row r="371" spans="13:13" ht="12.75" customHeight="1">
      <c r="M371" s="30"/>
    </row>
    <row r="372" spans="13:13" ht="12.75" customHeight="1">
      <c r="M372" s="30"/>
    </row>
    <row r="373" spans="13:13" ht="12.75" customHeight="1">
      <c r="M373" s="30"/>
    </row>
    <row r="374" spans="13:13" ht="12.75" customHeight="1">
      <c r="M374" s="30"/>
    </row>
    <row r="375" spans="13:13" ht="12.75" customHeight="1">
      <c r="M375" s="30"/>
    </row>
    <row r="376" spans="13:13" ht="12.75" customHeight="1">
      <c r="M376" s="30"/>
    </row>
    <row r="377" spans="13:13" ht="12.75" customHeight="1">
      <c r="M377" s="30"/>
    </row>
    <row r="378" spans="13:13" ht="12.75" customHeight="1">
      <c r="M378" s="30"/>
    </row>
    <row r="379" spans="13:13" ht="12.75" customHeight="1">
      <c r="M379" s="30"/>
    </row>
    <row r="380" spans="13:13" ht="12.75" customHeight="1">
      <c r="M380" s="30"/>
    </row>
    <row r="381" spans="13:13" ht="12.75" customHeight="1">
      <c r="M381" s="30"/>
    </row>
    <row r="382" spans="13:13" ht="12.75" customHeight="1">
      <c r="M382" s="30"/>
    </row>
    <row r="383" spans="13:13" ht="12.75" customHeight="1">
      <c r="M383" s="30"/>
    </row>
    <row r="384" spans="13:13" ht="12.75" customHeight="1">
      <c r="M384" s="30"/>
    </row>
    <row r="385" spans="13:13" ht="12.75" customHeight="1">
      <c r="M385" s="30"/>
    </row>
    <row r="386" spans="13:13" ht="12.75" customHeight="1">
      <c r="M386" s="30"/>
    </row>
    <row r="387" spans="13:13" ht="12.75" customHeight="1">
      <c r="M387" s="30"/>
    </row>
    <row r="388" spans="13:13" ht="12.75" customHeight="1">
      <c r="M388" s="30"/>
    </row>
    <row r="389" spans="13:13" ht="12.75" customHeight="1">
      <c r="M389" s="30"/>
    </row>
    <row r="390" spans="13:13" ht="12.75" customHeight="1">
      <c r="M390" s="30"/>
    </row>
    <row r="391" spans="13:13" ht="12.75" customHeight="1">
      <c r="M391" s="30"/>
    </row>
    <row r="392" spans="13:13" ht="12.75" customHeight="1">
      <c r="M392" s="30"/>
    </row>
    <row r="393" spans="13:13" ht="12.75" customHeight="1">
      <c r="M393" s="30"/>
    </row>
    <row r="394" spans="13:13" ht="12.75" customHeight="1">
      <c r="M394" s="30"/>
    </row>
    <row r="395" spans="13:13" ht="12.75" customHeight="1">
      <c r="M395" s="30"/>
    </row>
    <row r="396" spans="13:13" ht="12.75" customHeight="1">
      <c r="M396" s="30"/>
    </row>
    <row r="397" spans="13:13" ht="12.75" customHeight="1">
      <c r="M397" s="30"/>
    </row>
    <row r="398" spans="13:13" ht="12.75" customHeight="1">
      <c r="M398" s="30"/>
    </row>
    <row r="399" spans="13:13" ht="12.75" customHeight="1">
      <c r="M399" s="30"/>
    </row>
    <row r="400" spans="13:13" ht="12.75" customHeight="1">
      <c r="M400" s="30"/>
    </row>
    <row r="401" spans="13:13" ht="12.75" customHeight="1">
      <c r="M401" s="30"/>
    </row>
    <row r="402" spans="13:13" ht="12.75" customHeight="1">
      <c r="M402" s="30"/>
    </row>
    <row r="403" spans="13:13" ht="12.75" customHeight="1">
      <c r="M403" s="30"/>
    </row>
    <row r="404" spans="13:13" ht="12.75" customHeight="1">
      <c r="M404" s="30"/>
    </row>
    <row r="405" spans="13:13" ht="12.75" customHeight="1">
      <c r="M405" s="30"/>
    </row>
    <row r="406" spans="13:13" ht="12.75" customHeight="1">
      <c r="M406" s="30"/>
    </row>
    <row r="407" spans="13:13" ht="12.75" customHeight="1">
      <c r="M407" s="30"/>
    </row>
    <row r="408" spans="13:13" ht="12.75" customHeight="1">
      <c r="M408" s="30"/>
    </row>
    <row r="409" spans="13:13" ht="12.75" customHeight="1">
      <c r="M409" s="30"/>
    </row>
    <row r="410" spans="13:13" ht="12.75" customHeight="1">
      <c r="M410" s="30"/>
    </row>
    <row r="411" spans="13:13" ht="12.75" customHeight="1">
      <c r="M411" s="30"/>
    </row>
    <row r="412" spans="13:13" ht="12.75" customHeight="1">
      <c r="M412" s="30"/>
    </row>
    <row r="413" spans="13:13" ht="12.75" customHeight="1">
      <c r="M413" s="30"/>
    </row>
    <row r="414" spans="13:13" ht="12.75" customHeight="1">
      <c r="M414" s="30"/>
    </row>
    <row r="415" spans="13:13" ht="12.75" customHeight="1">
      <c r="M415" s="30"/>
    </row>
    <row r="416" spans="13:13" ht="12.75" customHeight="1">
      <c r="M416" s="30"/>
    </row>
    <row r="417" spans="13:13" ht="12.75" customHeight="1">
      <c r="M417" s="30"/>
    </row>
    <row r="418" spans="13:13" ht="12.75" customHeight="1">
      <c r="M418" s="30"/>
    </row>
    <row r="419" spans="13:13" ht="12.75" customHeight="1">
      <c r="M419" s="30"/>
    </row>
    <row r="420" spans="13:13" ht="12.75" customHeight="1">
      <c r="M420" s="30"/>
    </row>
    <row r="421" spans="13:13" ht="12.75" customHeight="1">
      <c r="M421" s="30"/>
    </row>
    <row r="422" spans="13:13" ht="12.75" customHeight="1">
      <c r="M422" s="30"/>
    </row>
    <row r="423" spans="13:13" ht="12.75" customHeight="1">
      <c r="M423" s="30"/>
    </row>
    <row r="424" spans="13:13" ht="12.75" customHeight="1">
      <c r="M424" s="30"/>
    </row>
    <row r="425" spans="13:13" ht="12.75" customHeight="1">
      <c r="M425" s="30"/>
    </row>
    <row r="426" spans="13:13" ht="12.75" customHeight="1">
      <c r="M426" s="30"/>
    </row>
    <row r="427" spans="13:13" ht="12.75" customHeight="1">
      <c r="M427" s="30"/>
    </row>
    <row r="428" spans="13:13" ht="12.75" customHeight="1">
      <c r="M428" s="30"/>
    </row>
    <row r="429" spans="13:13" ht="12.75" customHeight="1">
      <c r="M429" s="30"/>
    </row>
    <row r="430" spans="13:13" ht="12.75" customHeight="1">
      <c r="M430" s="30"/>
    </row>
    <row r="431" spans="13:13" ht="12.75" customHeight="1">
      <c r="M431" s="30"/>
    </row>
    <row r="432" spans="13:13" ht="12.75" customHeight="1">
      <c r="M432" s="30"/>
    </row>
    <row r="433" spans="13:13" ht="12.75" customHeight="1">
      <c r="M433" s="30"/>
    </row>
    <row r="434" spans="13:13" ht="12.75" customHeight="1">
      <c r="M434" s="30"/>
    </row>
    <row r="435" spans="13:13" ht="12.75" customHeight="1">
      <c r="M435" s="30"/>
    </row>
    <row r="436" spans="13:13" ht="12.75" customHeight="1">
      <c r="M436" s="30"/>
    </row>
    <row r="437" spans="13:13" ht="12.75" customHeight="1">
      <c r="M437" s="30"/>
    </row>
    <row r="438" spans="13:13" ht="12.75" customHeight="1">
      <c r="M438" s="30"/>
    </row>
    <row r="439" spans="13:13" ht="12.75" customHeight="1">
      <c r="M439" s="30"/>
    </row>
    <row r="440" spans="13:13" ht="12.75" customHeight="1">
      <c r="M440" s="30"/>
    </row>
    <row r="441" spans="13:13" ht="12.75" customHeight="1">
      <c r="M441" s="30"/>
    </row>
    <row r="442" spans="13:13" ht="12.75" customHeight="1">
      <c r="M442" s="30"/>
    </row>
    <row r="443" spans="13:13" ht="12.75" customHeight="1">
      <c r="M443" s="30"/>
    </row>
    <row r="444" spans="13:13" ht="12.75" customHeight="1">
      <c r="M444" s="30"/>
    </row>
    <row r="445" spans="13:13" ht="12.75" customHeight="1">
      <c r="M445" s="30"/>
    </row>
    <row r="446" spans="13:13" ht="12.75" customHeight="1">
      <c r="M446" s="30"/>
    </row>
    <row r="447" spans="13:13" ht="12.75" customHeight="1">
      <c r="M447" s="30"/>
    </row>
    <row r="448" spans="13:13" ht="12.75" customHeight="1">
      <c r="M448" s="30"/>
    </row>
    <row r="449" spans="13:13" ht="12.75" customHeight="1">
      <c r="M449" s="30"/>
    </row>
    <row r="450" spans="13:13" ht="12.75" customHeight="1">
      <c r="M450" s="30"/>
    </row>
    <row r="451" spans="13:13" ht="12.75" customHeight="1">
      <c r="M451" s="30"/>
    </row>
    <row r="452" spans="13:13" ht="12.75" customHeight="1">
      <c r="M452" s="30"/>
    </row>
    <row r="453" spans="13:13" ht="12.75" customHeight="1">
      <c r="M453" s="30"/>
    </row>
    <row r="454" spans="13:13" ht="12.75" customHeight="1">
      <c r="M454" s="30"/>
    </row>
    <row r="455" spans="13:13" ht="12.75" customHeight="1">
      <c r="M455" s="30"/>
    </row>
    <row r="456" spans="13:13" ht="12.75" customHeight="1">
      <c r="M456" s="30"/>
    </row>
    <row r="457" spans="13:13" ht="12.75" customHeight="1">
      <c r="M457" s="30"/>
    </row>
    <row r="458" spans="13:13" ht="12.75" customHeight="1">
      <c r="M458" s="30"/>
    </row>
    <row r="459" spans="13:13" ht="12.75" customHeight="1">
      <c r="M459" s="30"/>
    </row>
    <row r="460" spans="13:13" ht="12.75" customHeight="1">
      <c r="M460" s="30"/>
    </row>
    <row r="461" spans="13:13" ht="12.75" customHeight="1">
      <c r="M461" s="30"/>
    </row>
    <row r="462" spans="13:13" ht="12.75" customHeight="1">
      <c r="M462" s="30"/>
    </row>
    <row r="463" spans="13:13" ht="12.75" customHeight="1">
      <c r="M463" s="30"/>
    </row>
    <row r="464" spans="13:13" ht="12.75" customHeight="1">
      <c r="M464" s="30"/>
    </row>
    <row r="465" spans="13:13" ht="12.75" customHeight="1">
      <c r="M465" s="30"/>
    </row>
    <row r="466" spans="13:13" ht="12.75" customHeight="1">
      <c r="M466" s="30"/>
    </row>
    <row r="467" spans="13:13" ht="12.75" customHeight="1">
      <c r="M467" s="30"/>
    </row>
    <row r="468" spans="13:13" ht="12.75" customHeight="1">
      <c r="M468" s="30"/>
    </row>
    <row r="469" spans="13:13" ht="12.75" customHeight="1">
      <c r="M469" s="30"/>
    </row>
    <row r="470" spans="13:13" ht="12.75" customHeight="1">
      <c r="M470" s="30"/>
    </row>
    <row r="471" spans="13:13" ht="12.75" customHeight="1">
      <c r="M471" s="30"/>
    </row>
    <row r="472" spans="13:13" ht="12.75" customHeight="1">
      <c r="M472" s="30"/>
    </row>
    <row r="473" spans="13:13" ht="12.75" customHeight="1">
      <c r="M473" s="30"/>
    </row>
    <row r="474" spans="13:13" ht="12.75" customHeight="1">
      <c r="M474" s="30"/>
    </row>
    <row r="475" spans="13:13" ht="12.75" customHeight="1">
      <c r="M475" s="30"/>
    </row>
    <row r="476" spans="13:13" ht="12.75" customHeight="1">
      <c r="M476" s="30"/>
    </row>
    <row r="477" spans="13:13" ht="12.75" customHeight="1">
      <c r="M477" s="30"/>
    </row>
    <row r="478" spans="13:13" ht="12.75" customHeight="1">
      <c r="M478" s="30"/>
    </row>
    <row r="479" spans="13:13" ht="12.75" customHeight="1">
      <c r="M479" s="30"/>
    </row>
    <row r="480" spans="13:13" ht="12.75" customHeight="1">
      <c r="M480" s="30"/>
    </row>
    <row r="481" spans="13:13" ht="12.75" customHeight="1">
      <c r="M481" s="30"/>
    </row>
    <row r="482" spans="13:13" ht="12.75" customHeight="1">
      <c r="M482" s="30"/>
    </row>
    <row r="483" spans="13:13" ht="12.75" customHeight="1">
      <c r="M483" s="30"/>
    </row>
    <row r="484" spans="13:13" ht="12.75" customHeight="1">
      <c r="M484" s="30"/>
    </row>
    <row r="485" spans="13:13" ht="12.75" customHeight="1">
      <c r="M485" s="30"/>
    </row>
    <row r="486" spans="13:13" ht="12.75" customHeight="1">
      <c r="M486" s="30"/>
    </row>
    <row r="487" spans="13:13" ht="12.75" customHeight="1">
      <c r="M487" s="30"/>
    </row>
    <row r="488" spans="13:13" ht="12.75" customHeight="1">
      <c r="M488" s="30"/>
    </row>
    <row r="489" spans="13:13" ht="12.75" customHeight="1">
      <c r="M489" s="30"/>
    </row>
    <row r="490" spans="13:13" ht="12.75" customHeight="1">
      <c r="M490" s="30"/>
    </row>
    <row r="491" spans="13:13" ht="12.75" customHeight="1">
      <c r="M491" s="30"/>
    </row>
    <row r="492" spans="13:13" ht="12.75" customHeight="1">
      <c r="M492" s="30"/>
    </row>
    <row r="493" spans="13:13" ht="12.75" customHeight="1">
      <c r="M493" s="30"/>
    </row>
    <row r="494" spans="13:13" ht="12.75" customHeight="1">
      <c r="M494" s="30"/>
    </row>
    <row r="495" spans="13:13" ht="12.75" customHeight="1">
      <c r="M495" s="30"/>
    </row>
    <row r="496" spans="13:13" ht="12.75" customHeight="1">
      <c r="M496" s="30"/>
    </row>
    <row r="497" spans="13:13" ht="12.75" customHeight="1">
      <c r="M497" s="30"/>
    </row>
    <row r="498" spans="13:13" ht="12.75" customHeight="1">
      <c r="M498" s="30"/>
    </row>
    <row r="499" spans="13:13" ht="12.75" customHeight="1">
      <c r="M499" s="30"/>
    </row>
    <row r="500" spans="13:13" ht="12.75" customHeight="1">
      <c r="M500" s="30"/>
    </row>
    <row r="501" spans="13:13" ht="12.75" customHeight="1">
      <c r="M501" s="30"/>
    </row>
    <row r="502" spans="13:13" ht="12.75" customHeight="1">
      <c r="M502" s="30"/>
    </row>
    <row r="503" spans="13:13" ht="12.75" customHeight="1">
      <c r="M503" s="30"/>
    </row>
    <row r="504" spans="13:13" ht="12.75" customHeight="1">
      <c r="M504" s="30"/>
    </row>
    <row r="505" spans="13:13" ht="12.75" customHeight="1">
      <c r="M505" s="30"/>
    </row>
    <row r="506" spans="13:13" ht="12.75" customHeight="1">
      <c r="M506" s="30"/>
    </row>
    <row r="507" spans="13:13" ht="12.75" customHeight="1">
      <c r="M507" s="30"/>
    </row>
    <row r="508" spans="13:13" ht="12.75" customHeight="1">
      <c r="M508" s="30"/>
    </row>
    <row r="509" spans="13:13" ht="12.75" customHeight="1">
      <c r="M509" s="30"/>
    </row>
    <row r="510" spans="13:13" ht="12.75" customHeight="1">
      <c r="M510" s="30"/>
    </row>
    <row r="511" spans="13:13" ht="12.75" customHeight="1">
      <c r="M511" s="30"/>
    </row>
    <row r="512" spans="13:13" ht="12.75" customHeight="1">
      <c r="M512" s="30"/>
    </row>
    <row r="513" spans="13:13" ht="12.75" customHeight="1">
      <c r="M513" s="30"/>
    </row>
    <row r="514" spans="13:13" ht="12.75" customHeight="1">
      <c r="M514" s="30"/>
    </row>
    <row r="515" spans="13:13" ht="12.75" customHeight="1">
      <c r="M515" s="30"/>
    </row>
    <row r="516" spans="13:13" ht="12.75" customHeight="1">
      <c r="M516" s="30"/>
    </row>
    <row r="517" spans="13:13" ht="12.75" customHeight="1">
      <c r="M517" s="30"/>
    </row>
    <row r="518" spans="13:13" ht="12.75" customHeight="1">
      <c r="M518" s="30"/>
    </row>
    <row r="519" spans="13:13" ht="12.75" customHeight="1">
      <c r="M519" s="30"/>
    </row>
    <row r="520" spans="13:13" ht="12.75" customHeight="1">
      <c r="M520" s="30"/>
    </row>
    <row r="521" spans="13:13" ht="12.75" customHeight="1">
      <c r="M521" s="30"/>
    </row>
    <row r="522" spans="13:13" ht="12.75" customHeight="1">
      <c r="M522" s="30"/>
    </row>
    <row r="523" spans="13:13" ht="12.75" customHeight="1">
      <c r="M523" s="30"/>
    </row>
    <row r="524" spans="13:13" ht="12.75" customHeight="1">
      <c r="M524" s="30"/>
    </row>
    <row r="525" spans="13:13" ht="12.75" customHeight="1">
      <c r="M525" s="30"/>
    </row>
    <row r="526" spans="13:13" ht="12.75" customHeight="1">
      <c r="M526" s="30"/>
    </row>
    <row r="527" spans="13:13" ht="12.75" customHeight="1">
      <c r="M527" s="30"/>
    </row>
    <row r="528" spans="13:13" ht="12.75" customHeight="1">
      <c r="M528" s="30"/>
    </row>
    <row r="529" spans="13:13" ht="12.75" customHeight="1">
      <c r="M529" s="30"/>
    </row>
    <row r="530" spans="13:13" ht="12.75" customHeight="1">
      <c r="M530" s="30"/>
    </row>
    <row r="531" spans="13:13" ht="12.75" customHeight="1">
      <c r="M531" s="30"/>
    </row>
    <row r="532" spans="13:13" ht="12.75" customHeight="1">
      <c r="M532" s="30"/>
    </row>
    <row r="533" spans="13:13" ht="12.75" customHeight="1">
      <c r="M533" s="30"/>
    </row>
    <row r="534" spans="13:13" ht="12.75" customHeight="1">
      <c r="M534" s="30"/>
    </row>
    <row r="535" spans="13:13" ht="12.75" customHeight="1">
      <c r="M535" s="30"/>
    </row>
    <row r="536" spans="13:13" ht="12.75" customHeight="1">
      <c r="M536" s="30"/>
    </row>
    <row r="537" spans="13:13" ht="12.75" customHeight="1">
      <c r="M537" s="30"/>
    </row>
    <row r="538" spans="13:13" ht="12.75" customHeight="1">
      <c r="M538" s="30"/>
    </row>
    <row r="539" spans="13:13" ht="12.75" customHeight="1">
      <c r="M539" s="30"/>
    </row>
    <row r="540" spans="13:13" ht="12.75" customHeight="1">
      <c r="M540" s="30"/>
    </row>
    <row r="541" spans="13:13" ht="12.75" customHeight="1">
      <c r="M541" s="30"/>
    </row>
    <row r="542" spans="13:13" ht="12.75" customHeight="1">
      <c r="M542" s="30"/>
    </row>
    <row r="543" spans="13:13" ht="12.75" customHeight="1">
      <c r="M543" s="30"/>
    </row>
    <row r="544" spans="13:13" ht="12.75" customHeight="1">
      <c r="M544" s="30"/>
    </row>
    <row r="545" spans="13:13" ht="12.75" customHeight="1">
      <c r="M545" s="30"/>
    </row>
    <row r="546" spans="13:13" ht="12.75" customHeight="1">
      <c r="M546" s="30"/>
    </row>
    <row r="547" spans="13:13" ht="12.75" customHeight="1">
      <c r="M547" s="30"/>
    </row>
    <row r="548" spans="13:13" ht="12.75" customHeight="1">
      <c r="M548" s="30"/>
    </row>
    <row r="549" spans="13:13" ht="12.75" customHeight="1">
      <c r="M549" s="30"/>
    </row>
    <row r="550" spans="13:13" ht="12.75" customHeight="1">
      <c r="M550" s="30"/>
    </row>
    <row r="551" spans="13:13" ht="12.75" customHeight="1">
      <c r="M551" s="30"/>
    </row>
    <row r="552" spans="13:13" ht="12.75" customHeight="1">
      <c r="M552" s="30"/>
    </row>
    <row r="553" spans="13:13" ht="12.75" customHeight="1">
      <c r="M553" s="30"/>
    </row>
    <row r="554" spans="13:13" ht="12.75" customHeight="1">
      <c r="M554" s="30"/>
    </row>
    <row r="555" spans="13:13" ht="12.75" customHeight="1">
      <c r="M555" s="30"/>
    </row>
    <row r="556" spans="13:13" ht="12.75" customHeight="1">
      <c r="M556" s="30"/>
    </row>
    <row r="557" spans="13:13" ht="12.75" customHeight="1">
      <c r="M557" s="30"/>
    </row>
    <row r="558" spans="13:13" ht="12.75" customHeight="1">
      <c r="M558" s="30"/>
    </row>
    <row r="559" spans="13:13" ht="12.75" customHeight="1">
      <c r="M559" s="30"/>
    </row>
    <row r="560" spans="13:13" ht="12.75" customHeight="1">
      <c r="M560" s="30"/>
    </row>
    <row r="561" spans="13:13" ht="12.75" customHeight="1">
      <c r="M561" s="30"/>
    </row>
    <row r="562" spans="13:13" ht="12.75" customHeight="1">
      <c r="M562" s="30"/>
    </row>
    <row r="563" spans="13:13" ht="12.75" customHeight="1">
      <c r="M563" s="30"/>
    </row>
    <row r="564" spans="13:13" ht="12.75" customHeight="1">
      <c r="M564" s="30"/>
    </row>
    <row r="565" spans="13:13" ht="12.75" customHeight="1">
      <c r="M565" s="30"/>
    </row>
    <row r="566" spans="13:13" ht="12.75" customHeight="1">
      <c r="M566" s="30"/>
    </row>
    <row r="567" spans="13:13" ht="12.75" customHeight="1">
      <c r="M567" s="30"/>
    </row>
    <row r="568" spans="13:13" ht="12.75" customHeight="1">
      <c r="M568" s="30"/>
    </row>
    <row r="569" spans="13:13" ht="12.75" customHeight="1">
      <c r="M569" s="30"/>
    </row>
    <row r="570" spans="13:13" ht="12.75" customHeight="1">
      <c r="M570" s="30"/>
    </row>
    <row r="571" spans="13:13" ht="12.75" customHeight="1">
      <c r="M571" s="30"/>
    </row>
    <row r="572" spans="13:13" ht="12.75" customHeight="1">
      <c r="M572" s="30"/>
    </row>
    <row r="573" spans="13:13" ht="12.75" customHeight="1">
      <c r="M573" s="30"/>
    </row>
    <row r="574" spans="13:13" ht="12.75" customHeight="1">
      <c r="M574" s="30"/>
    </row>
    <row r="575" spans="13:13" ht="12.75" customHeight="1">
      <c r="M575" s="30"/>
    </row>
    <row r="576" spans="13:13" ht="12.75" customHeight="1">
      <c r="M576" s="30"/>
    </row>
    <row r="577" spans="13:13" ht="12.75" customHeight="1">
      <c r="M577" s="30"/>
    </row>
    <row r="578" spans="13:13" ht="12.75" customHeight="1">
      <c r="M578" s="30"/>
    </row>
    <row r="579" spans="13:13" ht="12.75" customHeight="1">
      <c r="M579" s="30"/>
    </row>
    <row r="580" spans="13:13" ht="12.75" customHeight="1">
      <c r="M580" s="30"/>
    </row>
    <row r="581" spans="13:13" ht="12.75" customHeight="1">
      <c r="M581" s="30"/>
    </row>
    <row r="582" spans="13:13" ht="12.75" customHeight="1">
      <c r="M582" s="30"/>
    </row>
    <row r="583" spans="13:13" ht="12.75" customHeight="1">
      <c r="M583" s="30"/>
    </row>
    <row r="584" spans="13:13" ht="12.75" customHeight="1">
      <c r="M584" s="30"/>
    </row>
    <row r="585" spans="13:13" ht="12.75" customHeight="1">
      <c r="M585" s="30"/>
    </row>
    <row r="586" spans="13:13" ht="12.75" customHeight="1">
      <c r="M586" s="30"/>
    </row>
    <row r="587" spans="13:13" ht="12.75" customHeight="1">
      <c r="M587" s="30"/>
    </row>
    <row r="588" spans="13:13" ht="12.75" customHeight="1">
      <c r="M588" s="30"/>
    </row>
    <row r="589" spans="13:13" ht="12.75" customHeight="1">
      <c r="M589" s="30"/>
    </row>
    <row r="590" spans="13:13" ht="12.75" customHeight="1">
      <c r="M590" s="30"/>
    </row>
    <row r="591" spans="13:13" ht="12.75" customHeight="1">
      <c r="M591" s="30"/>
    </row>
    <row r="592" spans="13:13" ht="12.75" customHeight="1">
      <c r="M592" s="30"/>
    </row>
    <row r="593" spans="13:13" ht="12.75" customHeight="1">
      <c r="M593" s="30"/>
    </row>
    <row r="594" spans="13:13" ht="12.75" customHeight="1">
      <c r="M594" s="30"/>
    </row>
    <row r="595" spans="13:13" ht="12.75" customHeight="1">
      <c r="M595" s="30"/>
    </row>
    <row r="596" spans="13:13" ht="12.75" customHeight="1">
      <c r="M596" s="30"/>
    </row>
    <row r="597" spans="13:13" ht="12.75" customHeight="1">
      <c r="M597" s="30"/>
    </row>
    <row r="598" spans="13:13" ht="12.75" customHeight="1">
      <c r="M598" s="30"/>
    </row>
    <row r="599" spans="13:13" ht="12.75" customHeight="1">
      <c r="M599" s="30"/>
    </row>
    <row r="600" spans="13:13" ht="12.75" customHeight="1">
      <c r="M600" s="30"/>
    </row>
    <row r="601" spans="13:13" ht="12.75" customHeight="1">
      <c r="M601" s="30"/>
    </row>
    <row r="602" spans="13:13" ht="12.75" customHeight="1">
      <c r="M602" s="30"/>
    </row>
    <row r="603" spans="13:13" ht="12.75" customHeight="1">
      <c r="M603" s="30"/>
    </row>
    <row r="604" spans="13:13" ht="12.75" customHeight="1">
      <c r="M604" s="30"/>
    </row>
    <row r="605" spans="13:13" ht="12.75" customHeight="1">
      <c r="M605" s="30"/>
    </row>
    <row r="606" spans="13:13" ht="12.75" customHeight="1">
      <c r="M606" s="30"/>
    </row>
    <row r="607" spans="13:13" ht="12.75" customHeight="1">
      <c r="M607" s="30"/>
    </row>
    <row r="608" spans="13:13" ht="12.75" customHeight="1">
      <c r="M608" s="30"/>
    </row>
    <row r="609" spans="13:13" ht="12.75" customHeight="1">
      <c r="M609" s="30"/>
    </row>
    <row r="610" spans="13:13" ht="12.75" customHeight="1">
      <c r="M610" s="30"/>
    </row>
    <row r="611" spans="13:13" ht="12.75" customHeight="1">
      <c r="M611" s="30"/>
    </row>
    <row r="612" spans="13:13" ht="12.75" customHeight="1">
      <c r="M612" s="30"/>
    </row>
    <row r="613" spans="13:13" ht="12.75" customHeight="1">
      <c r="M613" s="30"/>
    </row>
    <row r="614" spans="13:13" ht="12.75" customHeight="1">
      <c r="M614" s="30"/>
    </row>
    <row r="615" spans="13:13" ht="12.75" customHeight="1">
      <c r="M615" s="30"/>
    </row>
    <row r="616" spans="13:13" ht="12.75" customHeight="1">
      <c r="M616" s="30"/>
    </row>
    <row r="617" spans="13:13" ht="12.75" customHeight="1">
      <c r="M617" s="30"/>
    </row>
    <row r="618" spans="13:13" ht="12.75" customHeight="1">
      <c r="M618" s="30"/>
    </row>
    <row r="619" spans="13:13" ht="12.75" customHeight="1">
      <c r="M619" s="30"/>
    </row>
    <row r="620" spans="13:13" ht="12.75" customHeight="1">
      <c r="M620" s="30"/>
    </row>
    <row r="621" spans="13:13" ht="12.75" customHeight="1">
      <c r="M621" s="30"/>
    </row>
    <row r="622" spans="13:13" ht="12.75" customHeight="1">
      <c r="M622" s="30"/>
    </row>
    <row r="623" spans="13:13" ht="12.75" customHeight="1">
      <c r="M623" s="30"/>
    </row>
    <row r="624" spans="13:13" ht="12.75" customHeight="1">
      <c r="M624" s="30"/>
    </row>
    <row r="625" spans="13:13" ht="12.75" customHeight="1">
      <c r="M625" s="30"/>
    </row>
    <row r="626" spans="13:13" ht="12.75" customHeight="1">
      <c r="M626" s="30"/>
    </row>
    <row r="627" spans="13:13" ht="12.75" customHeight="1">
      <c r="M627" s="30"/>
    </row>
    <row r="628" spans="13:13" ht="12.75" customHeight="1">
      <c r="M628" s="30"/>
    </row>
    <row r="629" spans="13:13" ht="12.75" customHeight="1">
      <c r="M629" s="30"/>
    </row>
    <row r="630" spans="13:13" ht="12.75" customHeight="1">
      <c r="M630" s="30"/>
    </row>
    <row r="631" spans="13:13" ht="12.75" customHeight="1">
      <c r="M631" s="30"/>
    </row>
    <row r="632" spans="13:13" ht="12.75" customHeight="1">
      <c r="M632" s="30"/>
    </row>
    <row r="633" spans="13:13" ht="12.75" customHeight="1">
      <c r="M633" s="30"/>
    </row>
    <row r="634" spans="13:13" ht="12.75" customHeight="1">
      <c r="M634" s="30"/>
    </row>
    <row r="635" spans="13:13" ht="12.75" customHeight="1">
      <c r="M635" s="30"/>
    </row>
    <row r="636" spans="13:13" ht="12.75" customHeight="1">
      <c r="M636" s="30"/>
    </row>
    <row r="637" spans="13:13" ht="12.75" customHeight="1">
      <c r="M637" s="30"/>
    </row>
    <row r="638" spans="13:13" ht="12.75" customHeight="1">
      <c r="M638" s="30"/>
    </row>
    <row r="639" spans="13:13" ht="12.75" customHeight="1">
      <c r="M639" s="30"/>
    </row>
    <row r="640" spans="13:13" ht="12.75" customHeight="1">
      <c r="M640" s="30"/>
    </row>
    <row r="641" spans="13:13" ht="12.75" customHeight="1">
      <c r="M641" s="30"/>
    </row>
    <row r="642" spans="13:13" ht="12.75" customHeight="1">
      <c r="M642" s="30"/>
    </row>
    <row r="643" spans="13:13" ht="12.75" customHeight="1">
      <c r="M643" s="30"/>
    </row>
    <row r="644" spans="13:13" ht="12.75" customHeight="1">
      <c r="M644" s="30"/>
    </row>
    <row r="645" spans="13:13" ht="12.75" customHeight="1">
      <c r="M645" s="30"/>
    </row>
    <row r="646" spans="13:13" ht="12.75" customHeight="1">
      <c r="M646" s="30"/>
    </row>
    <row r="647" spans="13:13" ht="12.75" customHeight="1">
      <c r="M647" s="30"/>
    </row>
    <row r="648" spans="13:13" ht="12.75" customHeight="1">
      <c r="M648" s="30"/>
    </row>
    <row r="649" spans="13:13" ht="12.75" customHeight="1">
      <c r="M649" s="30"/>
    </row>
    <row r="650" spans="13:13" ht="12.75" customHeight="1">
      <c r="M650" s="30"/>
    </row>
    <row r="651" spans="13:13" ht="12.75" customHeight="1">
      <c r="M651" s="30"/>
    </row>
    <row r="652" spans="13:13" ht="12.75" customHeight="1">
      <c r="M652" s="30"/>
    </row>
    <row r="653" spans="13:13" ht="12.75" customHeight="1">
      <c r="M653" s="30"/>
    </row>
    <row r="654" spans="13:13" ht="12.75" customHeight="1">
      <c r="M654" s="30"/>
    </row>
    <row r="655" spans="13:13" ht="12.75" customHeight="1">
      <c r="M655" s="30"/>
    </row>
    <row r="656" spans="13:13" ht="12.75" customHeight="1">
      <c r="M656" s="30"/>
    </row>
    <row r="657" spans="13:13" ht="12.75" customHeight="1">
      <c r="M657" s="30"/>
    </row>
    <row r="658" spans="13:13" ht="12.75" customHeight="1">
      <c r="M658" s="30"/>
    </row>
    <row r="659" spans="13:13" ht="12.75" customHeight="1">
      <c r="M659" s="30"/>
    </row>
    <row r="660" spans="13:13" ht="12.75" customHeight="1">
      <c r="M660" s="30"/>
    </row>
    <row r="661" spans="13:13" ht="12.75" customHeight="1">
      <c r="M661" s="30"/>
    </row>
    <row r="662" spans="13:13" ht="12.75" customHeight="1">
      <c r="M662" s="30"/>
    </row>
    <row r="663" spans="13:13" ht="12.75" customHeight="1">
      <c r="M663" s="30"/>
    </row>
    <row r="664" spans="13:13" ht="12.75" customHeight="1">
      <c r="M664" s="30"/>
    </row>
    <row r="665" spans="13:13" ht="12.75" customHeight="1">
      <c r="M665" s="30"/>
    </row>
    <row r="666" spans="13:13" ht="12.75" customHeight="1">
      <c r="M666" s="30"/>
    </row>
    <row r="667" spans="13:13" ht="12.75" customHeight="1">
      <c r="M667" s="30"/>
    </row>
    <row r="668" spans="13:13" ht="12.75" customHeight="1">
      <c r="M668" s="30"/>
    </row>
    <row r="669" spans="13:13" ht="12.75" customHeight="1">
      <c r="M669" s="30"/>
    </row>
    <row r="670" spans="13:13" ht="12.75" customHeight="1">
      <c r="M670" s="30"/>
    </row>
    <row r="671" spans="13:13" ht="12.75" customHeight="1">
      <c r="M671" s="30"/>
    </row>
    <row r="672" spans="13:13" ht="12.75" customHeight="1">
      <c r="M672" s="30"/>
    </row>
    <row r="673" spans="13:13" ht="12.75" customHeight="1">
      <c r="M673" s="30"/>
    </row>
    <row r="674" spans="13:13" ht="12.75" customHeight="1">
      <c r="M674" s="30"/>
    </row>
    <row r="675" spans="13:13" ht="12.75" customHeight="1">
      <c r="M675" s="30"/>
    </row>
    <row r="676" spans="13:13" ht="12.75" customHeight="1">
      <c r="M676" s="30"/>
    </row>
    <row r="677" spans="13:13" ht="12.75" customHeight="1">
      <c r="M677" s="30"/>
    </row>
    <row r="678" spans="13:13" ht="12.75" customHeight="1">
      <c r="M678" s="30"/>
    </row>
    <row r="679" spans="13:13" ht="12.75" customHeight="1">
      <c r="M679" s="30"/>
    </row>
    <row r="680" spans="13:13" ht="12.75" customHeight="1">
      <c r="M680" s="30"/>
    </row>
    <row r="681" spans="13:13" ht="12.75" customHeight="1">
      <c r="M681" s="30"/>
    </row>
    <row r="682" spans="13:13" ht="12.75" customHeight="1">
      <c r="M682" s="30"/>
    </row>
    <row r="683" spans="13:13" ht="12.75" customHeight="1">
      <c r="M683" s="30"/>
    </row>
    <row r="684" spans="13:13" ht="12.75" customHeight="1">
      <c r="M684" s="30"/>
    </row>
    <row r="685" spans="13:13" ht="12.75" customHeight="1">
      <c r="M685" s="30"/>
    </row>
    <row r="686" spans="13:13" ht="12.75" customHeight="1">
      <c r="M686" s="30"/>
    </row>
    <row r="687" spans="13:13" ht="12.75" customHeight="1">
      <c r="M687" s="30"/>
    </row>
    <row r="688" spans="13:13" ht="12.75" customHeight="1">
      <c r="M688" s="30"/>
    </row>
    <row r="689" spans="13:13" ht="12.75" customHeight="1">
      <c r="M689" s="30"/>
    </row>
    <row r="690" spans="13:13" ht="12.75" customHeight="1">
      <c r="M690" s="30"/>
    </row>
    <row r="691" spans="13:13" ht="12.75" customHeight="1">
      <c r="M691" s="30"/>
    </row>
    <row r="692" spans="13:13" ht="12.75" customHeight="1">
      <c r="M692" s="30"/>
    </row>
    <row r="693" spans="13:13" ht="12.75" customHeight="1">
      <c r="M693" s="30"/>
    </row>
    <row r="694" spans="13:13" ht="12.75" customHeight="1">
      <c r="M694" s="30"/>
    </row>
    <row r="695" spans="13:13" ht="12.75" customHeight="1">
      <c r="M695" s="30"/>
    </row>
    <row r="696" spans="13:13" ht="12.75" customHeight="1">
      <c r="M696" s="30"/>
    </row>
    <row r="697" spans="13:13" ht="12.75" customHeight="1">
      <c r="M697" s="30"/>
    </row>
    <row r="698" spans="13:13" ht="12.75" customHeight="1">
      <c r="M698" s="30"/>
    </row>
    <row r="699" spans="13:13" ht="12.75" customHeight="1">
      <c r="M699" s="30"/>
    </row>
    <row r="700" spans="13:13" ht="12.75" customHeight="1">
      <c r="M700" s="30"/>
    </row>
    <row r="701" spans="13:13" ht="12.75" customHeight="1">
      <c r="M701" s="30"/>
    </row>
    <row r="702" spans="13:13" ht="12.75" customHeight="1">
      <c r="M702" s="30"/>
    </row>
    <row r="703" spans="13:13" ht="12.75" customHeight="1">
      <c r="M703" s="30"/>
    </row>
    <row r="704" spans="13:13" ht="12.75" customHeight="1">
      <c r="M704" s="30"/>
    </row>
    <row r="705" spans="13:13" ht="12.75" customHeight="1">
      <c r="M705" s="30"/>
    </row>
    <row r="706" spans="13:13" ht="12.75" customHeight="1">
      <c r="M706" s="30"/>
    </row>
    <row r="707" spans="13:13" ht="12.75" customHeight="1">
      <c r="M707" s="30"/>
    </row>
    <row r="708" spans="13:13" ht="12.75" customHeight="1">
      <c r="M708" s="30"/>
    </row>
    <row r="709" spans="13:13" ht="12.75" customHeight="1">
      <c r="M709" s="30"/>
    </row>
    <row r="710" spans="13:13" ht="12.75" customHeight="1">
      <c r="M710" s="30"/>
    </row>
    <row r="711" spans="13:13" ht="12.75" customHeight="1">
      <c r="M711" s="30"/>
    </row>
    <row r="712" spans="13:13" ht="12.75" customHeight="1">
      <c r="M712" s="30"/>
    </row>
    <row r="713" spans="13:13" ht="12.75" customHeight="1">
      <c r="M713" s="30"/>
    </row>
    <row r="714" spans="13:13" ht="12.75" customHeight="1">
      <c r="M714" s="30"/>
    </row>
    <row r="715" spans="13:13" ht="12.75" customHeight="1">
      <c r="M715" s="30"/>
    </row>
    <row r="716" spans="13:13" ht="12.75" customHeight="1">
      <c r="M716" s="30"/>
    </row>
    <row r="717" spans="13:13" ht="12.75" customHeight="1">
      <c r="M717" s="30"/>
    </row>
    <row r="718" spans="13:13" ht="12.75" customHeight="1">
      <c r="M718" s="30"/>
    </row>
    <row r="719" spans="13:13" ht="12.75" customHeight="1">
      <c r="M719" s="30"/>
    </row>
    <row r="720" spans="13:13" ht="12.75" customHeight="1">
      <c r="M720" s="30"/>
    </row>
    <row r="721" spans="13:13" ht="12.75" customHeight="1">
      <c r="M721" s="30"/>
    </row>
    <row r="722" spans="13:13" ht="12.75" customHeight="1">
      <c r="M722" s="30"/>
    </row>
    <row r="723" spans="13:13" ht="12.75" customHeight="1">
      <c r="M723" s="30"/>
    </row>
    <row r="724" spans="13:13" ht="12.75" customHeight="1">
      <c r="M724" s="30"/>
    </row>
    <row r="725" spans="13:13" ht="12.75" customHeight="1">
      <c r="M725" s="30"/>
    </row>
    <row r="726" spans="13:13" ht="12.75" customHeight="1">
      <c r="M726" s="30"/>
    </row>
    <row r="727" spans="13:13" ht="12.75" customHeight="1">
      <c r="M727" s="30"/>
    </row>
    <row r="728" spans="13:13" ht="12.75" customHeight="1">
      <c r="M728" s="30"/>
    </row>
    <row r="729" spans="13:13" ht="12.75" customHeight="1">
      <c r="M729" s="30"/>
    </row>
    <row r="730" spans="13:13" ht="12.75" customHeight="1">
      <c r="M730" s="30"/>
    </row>
    <row r="731" spans="13:13" ht="12.75" customHeight="1">
      <c r="M731" s="30"/>
    </row>
    <row r="732" spans="13:13" ht="12.75" customHeight="1">
      <c r="M732" s="30"/>
    </row>
    <row r="733" spans="13:13" ht="12.75" customHeight="1">
      <c r="M733" s="30"/>
    </row>
    <row r="734" spans="13:13" ht="12.75" customHeight="1">
      <c r="M734" s="30"/>
    </row>
    <row r="735" spans="13:13" ht="12.75" customHeight="1">
      <c r="M735" s="30"/>
    </row>
    <row r="736" spans="13:13" ht="12.75" customHeight="1">
      <c r="M736" s="30"/>
    </row>
    <row r="737" spans="13:13" ht="12.75" customHeight="1">
      <c r="M737" s="30"/>
    </row>
    <row r="738" spans="13:13" ht="12.75" customHeight="1">
      <c r="M738" s="30"/>
    </row>
    <row r="739" spans="13:13" ht="12.75" customHeight="1">
      <c r="M739" s="30"/>
    </row>
    <row r="740" spans="13:13" ht="12.75" customHeight="1">
      <c r="M740" s="30"/>
    </row>
    <row r="741" spans="13:13" ht="12.75" customHeight="1">
      <c r="M741" s="30"/>
    </row>
    <row r="742" spans="13:13" ht="12.75" customHeight="1">
      <c r="M742" s="30"/>
    </row>
    <row r="743" spans="13:13" ht="12.75" customHeight="1">
      <c r="M743" s="30"/>
    </row>
    <row r="744" spans="13:13" ht="12.75" customHeight="1">
      <c r="M744" s="30"/>
    </row>
    <row r="745" spans="13:13" ht="12.75" customHeight="1">
      <c r="M745" s="30"/>
    </row>
    <row r="746" spans="13:13" ht="12.75" customHeight="1">
      <c r="M746" s="30"/>
    </row>
    <row r="747" spans="13:13" ht="12.75" customHeight="1">
      <c r="M747" s="30"/>
    </row>
    <row r="748" spans="13:13" ht="12.75" customHeight="1">
      <c r="M748" s="30"/>
    </row>
    <row r="749" spans="13:13" ht="12.75" customHeight="1">
      <c r="M749" s="30"/>
    </row>
    <row r="750" spans="13:13" ht="12.75" customHeight="1">
      <c r="M750" s="30"/>
    </row>
    <row r="751" spans="13:13" ht="12.75" customHeight="1">
      <c r="M751" s="30"/>
    </row>
    <row r="752" spans="13:13" ht="12.75" customHeight="1">
      <c r="M752" s="30"/>
    </row>
    <row r="753" spans="13:13" ht="12.75" customHeight="1">
      <c r="M753" s="30"/>
    </row>
    <row r="754" spans="13:13" ht="12.75" customHeight="1">
      <c r="M754" s="30"/>
    </row>
    <row r="755" spans="13:13" ht="12.75" customHeight="1">
      <c r="M755" s="30"/>
    </row>
    <row r="756" spans="13:13" ht="12.75" customHeight="1">
      <c r="M756" s="30"/>
    </row>
    <row r="757" spans="13:13" ht="12.75" customHeight="1">
      <c r="M757" s="30"/>
    </row>
    <row r="758" spans="13:13" ht="12.75" customHeight="1">
      <c r="M758" s="30"/>
    </row>
    <row r="759" spans="13:13" ht="12.75" customHeight="1">
      <c r="M759" s="30"/>
    </row>
    <row r="760" spans="13:13" ht="12.75" customHeight="1">
      <c r="M760" s="30"/>
    </row>
    <row r="761" spans="13:13" ht="12.75" customHeight="1">
      <c r="M761" s="30"/>
    </row>
    <row r="762" spans="13:13" ht="12.75" customHeight="1">
      <c r="M762" s="30"/>
    </row>
    <row r="763" spans="13:13" ht="12.75" customHeight="1">
      <c r="M763" s="30"/>
    </row>
    <row r="764" spans="13:13" ht="12.75" customHeight="1">
      <c r="M764" s="30"/>
    </row>
    <row r="765" spans="13:13" ht="12.75" customHeight="1">
      <c r="M765" s="30"/>
    </row>
    <row r="766" spans="13:13" ht="12.75" customHeight="1">
      <c r="M766" s="30"/>
    </row>
    <row r="767" spans="13:13" ht="12.75" customHeight="1">
      <c r="M767" s="30"/>
    </row>
    <row r="768" spans="13:13" ht="12.75" customHeight="1">
      <c r="M768" s="30"/>
    </row>
    <row r="769" spans="13:13" ht="12.75" customHeight="1">
      <c r="M769" s="30"/>
    </row>
    <row r="770" spans="13:13" ht="12.75" customHeight="1">
      <c r="M770" s="30"/>
    </row>
    <row r="771" spans="13:13" ht="12.75" customHeight="1">
      <c r="M771" s="30"/>
    </row>
    <row r="772" spans="13:13" ht="12.75" customHeight="1">
      <c r="M772" s="30"/>
    </row>
    <row r="773" spans="13:13" ht="12.75" customHeight="1">
      <c r="M773" s="30"/>
    </row>
    <row r="774" spans="13:13" ht="12.75" customHeight="1">
      <c r="M774" s="30"/>
    </row>
    <row r="775" spans="13:13" ht="12.75" customHeight="1">
      <c r="M775" s="30"/>
    </row>
    <row r="776" spans="13:13" ht="12.75" customHeight="1">
      <c r="M776" s="30"/>
    </row>
    <row r="777" spans="13:13" ht="12.75" customHeight="1">
      <c r="M777" s="30"/>
    </row>
    <row r="778" spans="13:13" ht="12.75" customHeight="1">
      <c r="M778" s="30"/>
    </row>
    <row r="779" spans="13:13" ht="12.75" customHeight="1">
      <c r="M779" s="30"/>
    </row>
    <row r="780" spans="13:13" ht="12.75" customHeight="1">
      <c r="M780" s="30"/>
    </row>
    <row r="781" spans="13:13" ht="12.75" customHeight="1">
      <c r="M781" s="30"/>
    </row>
    <row r="782" spans="13:13" ht="12.75" customHeight="1">
      <c r="M782" s="30"/>
    </row>
    <row r="783" spans="13:13" ht="12.75" customHeight="1">
      <c r="M783" s="30"/>
    </row>
    <row r="784" spans="13:13" ht="12.75" customHeight="1">
      <c r="M784" s="30"/>
    </row>
    <row r="785" spans="13:13" ht="12.75" customHeight="1">
      <c r="M785" s="30"/>
    </row>
    <row r="786" spans="13:13" ht="12.75" customHeight="1">
      <c r="M786" s="30"/>
    </row>
    <row r="787" spans="13:13" ht="12.75" customHeight="1">
      <c r="M787" s="30"/>
    </row>
    <row r="788" spans="13:13" ht="12.75" customHeight="1">
      <c r="M788" s="30"/>
    </row>
    <row r="789" spans="13:13" ht="12.75" customHeight="1">
      <c r="M789" s="30"/>
    </row>
    <row r="790" spans="13:13" ht="12.75" customHeight="1">
      <c r="M790" s="30"/>
    </row>
    <row r="791" spans="13:13" ht="12.75" customHeight="1">
      <c r="M791" s="30"/>
    </row>
    <row r="792" spans="13:13" ht="12.75" customHeight="1">
      <c r="M792" s="30"/>
    </row>
    <row r="793" spans="13:13" ht="12.75" customHeight="1">
      <c r="M793" s="30"/>
    </row>
    <row r="794" spans="13:13" ht="12.75" customHeight="1">
      <c r="M794" s="30"/>
    </row>
    <row r="795" spans="13:13" ht="12.75" customHeight="1">
      <c r="M795" s="30"/>
    </row>
    <row r="796" spans="13:13" ht="12.75" customHeight="1">
      <c r="M796" s="30"/>
    </row>
    <row r="797" spans="13:13" ht="12.75" customHeight="1">
      <c r="M797" s="30"/>
    </row>
    <row r="798" spans="13:13" ht="12.75" customHeight="1">
      <c r="M798" s="30"/>
    </row>
    <row r="799" spans="13:13" ht="12.75" customHeight="1">
      <c r="M799" s="30"/>
    </row>
    <row r="800" spans="13:13" ht="12.75" customHeight="1">
      <c r="M800" s="30"/>
    </row>
    <row r="801" spans="13:13" ht="12.75" customHeight="1">
      <c r="M801" s="30"/>
    </row>
    <row r="802" spans="13:13" ht="12.75" customHeight="1">
      <c r="M802" s="30"/>
    </row>
    <row r="803" spans="13:13" ht="12.75" customHeight="1">
      <c r="M803" s="30"/>
    </row>
    <row r="804" spans="13:13" ht="12.75" customHeight="1">
      <c r="M804" s="30"/>
    </row>
    <row r="805" spans="13:13" ht="12.75" customHeight="1">
      <c r="M805" s="30"/>
    </row>
    <row r="806" spans="13:13" ht="12.75" customHeight="1">
      <c r="M806" s="30"/>
    </row>
    <row r="807" spans="13:13" ht="12.75" customHeight="1">
      <c r="M807" s="30"/>
    </row>
    <row r="808" spans="13:13" ht="12.75" customHeight="1">
      <c r="M808" s="30"/>
    </row>
    <row r="809" spans="13:13" ht="12.75" customHeight="1">
      <c r="M809" s="30"/>
    </row>
    <row r="810" spans="13:13" ht="12.75" customHeight="1">
      <c r="M810" s="30"/>
    </row>
    <row r="811" spans="13:13" ht="12.75" customHeight="1">
      <c r="M811" s="30"/>
    </row>
    <row r="812" spans="13:13" ht="12.75" customHeight="1">
      <c r="M812" s="30"/>
    </row>
    <row r="813" spans="13:13" ht="12.75" customHeight="1">
      <c r="M813" s="30"/>
    </row>
    <row r="814" spans="13:13" ht="12.75" customHeight="1">
      <c r="M814" s="30"/>
    </row>
    <row r="815" spans="13:13" ht="12.75" customHeight="1">
      <c r="M815" s="30"/>
    </row>
    <row r="816" spans="13:13" ht="12.75" customHeight="1">
      <c r="M816" s="30"/>
    </row>
    <row r="817" spans="13:13" ht="12.75" customHeight="1">
      <c r="M817" s="30"/>
    </row>
    <row r="818" spans="13:13" ht="12.75" customHeight="1">
      <c r="M818" s="30"/>
    </row>
    <row r="819" spans="13:13" ht="12.75" customHeight="1">
      <c r="M819" s="30"/>
    </row>
    <row r="820" spans="13:13" ht="12.75" customHeight="1">
      <c r="M820" s="30"/>
    </row>
    <row r="821" spans="13:13" ht="12.75" customHeight="1">
      <c r="M821" s="30"/>
    </row>
    <row r="822" spans="13:13" ht="12.75" customHeight="1">
      <c r="M822" s="30"/>
    </row>
    <row r="823" spans="13:13" ht="12.75" customHeight="1">
      <c r="M823" s="30"/>
    </row>
    <row r="824" spans="13:13" ht="12.75" customHeight="1">
      <c r="M824" s="30"/>
    </row>
    <row r="825" spans="13:13" ht="12.75" customHeight="1">
      <c r="M825" s="30"/>
    </row>
    <row r="826" spans="13:13" ht="12.75" customHeight="1">
      <c r="M826" s="30"/>
    </row>
    <row r="827" spans="13:13" ht="12.75" customHeight="1">
      <c r="M827" s="30"/>
    </row>
    <row r="828" spans="13:13" ht="12.75" customHeight="1">
      <c r="M828" s="30"/>
    </row>
    <row r="829" spans="13:13" ht="12.75" customHeight="1">
      <c r="M829" s="30"/>
    </row>
    <row r="830" spans="13:13" ht="12.75" customHeight="1">
      <c r="M830" s="30"/>
    </row>
    <row r="831" spans="13:13" ht="12.75" customHeight="1">
      <c r="M831" s="30"/>
    </row>
    <row r="832" spans="13:13" ht="12.75" customHeight="1">
      <c r="M832" s="30"/>
    </row>
    <row r="833" spans="13:13" ht="12.75" customHeight="1">
      <c r="M833" s="30"/>
    </row>
    <row r="834" spans="13:13" ht="12.75" customHeight="1">
      <c r="M834" s="30"/>
    </row>
    <row r="835" spans="13:13" ht="12.75" customHeight="1">
      <c r="M835" s="30"/>
    </row>
    <row r="836" spans="13:13" ht="12.75" customHeight="1">
      <c r="M836" s="30"/>
    </row>
    <row r="837" spans="13:13" ht="12.75" customHeight="1">
      <c r="M837" s="30"/>
    </row>
    <row r="838" spans="13:13" ht="12.75" customHeight="1">
      <c r="M838" s="30"/>
    </row>
    <row r="839" spans="13:13" ht="12.75" customHeight="1">
      <c r="M839" s="30"/>
    </row>
    <row r="840" spans="13:13" ht="12.75" customHeight="1">
      <c r="M840" s="30"/>
    </row>
    <row r="841" spans="13:13" ht="12.75" customHeight="1">
      <c r="M841" s="30"/>
    </row>
    <row r="842" spans="13:13" ht="12.75" customHeight="1">
      <c r="M842" s="30"/>
    </row>
    <row r="843" spans="13:13" ht="12.75" customHeight="1">
      <c r="M843" s="30"/>
    </row>
    <row r="844" spans="13:13" ht="12.75" customHeight="1">
      <c r="M844" s="30"/>
    </row>
    <row r="845" spans="13:13" ht="12.75" customHeight="1">
      <c r="M845" s="30"/>
    </row>
    <row r="846" spans="13:13" ht="12.75" customHeight="1">
      <c r="M846" s="30"/>
    </row>
    <row r="847" spans="13:13" ht="12.75" customHeight="1">
      <c r="M847" s="30"/>
    </row>
    <row r="848" spans="13:13" ht="12.75" customHeight="1">
      <c r="M848" s="30"/>
    </row>
    <row r="849" spans="13:13" ht="12.75" customHeight="1">
      <c r="M849" s="30"/>
    </row>
    <row r="850" spans="13:13" ht="12.75" customHeight="1">
      <c r="M850" s="30"/>
    </row>
    <row r="851" spans="13:13" ht="12.75" customHeight="1">
      <c r="M851" s="30"/>
    </row>
    <row r="852" spans="13:13" ht="12.75" customHeight="1">
      <c r="M852" s="30"/>
    </row>
    <row r="853" spans="13:13" ht="12.75" customHeight="1">
      <c r="M853" s="30"/>
    </row>
    <row r="854" spans="13:13" ht="12.75" customHeight="1">
      <c r="M854" s="30"/>
    </row>
    <row r="855" spans="13:13" ht="12.75" customHeight="1">
      <c r="M855" s="30"/>
    </row>
    <row r="856" spans="13:13" ht="12.75" customHeight="1">
      <c r="M856" s="30"/>
    </row>
    <row r="857" spans="13:13" ht="12.75" customHeight="1">
      <c r="M857" s="30"/>
    </row>
    <row r="858" spans="13:13" ht="12.75" customHeight="1">
      <c r="M858" s="30"/>
    </row>
    <row r="859" spans="13:13" ht="12.75" customHeight="1">
      <c r="M859" s="30"/>
    </row>
    <row r="860" spans="13:13" ht="12.75" customHeight="1">
      <c r="M860" s="30"/>
    </row>
    <row r="861" spans="13:13" ht="12.75" customHeight="1">
      <c r="M861" s="30"/>
    </row>
    <row r="862" spans="13:13" ht="12.75" customHeight="1">
      <c r="M862" s="30"/>
    </row>
    <row r="863" spans="13:13" ht="12.75" customHeight="1">
      <c r="M863" s="30"/>
    </row>
    <row r="864" spans="13:13" ht="12.75" customHeight="1">
      <c r="M864" s="30"/>
    </row>
    <row r="865" spans="13:13" ht="12.75" customHeight="1">
      <c r="M865" s="30"/>
    </row>
    <row r="866" spans="13:13" ht="12.75" customHeight="1">
      <c r="M866" s="30"/>
    </row>
    <row r="867" spans="13:13" ht="12.75" customHeight="1">
      <c r="M867" s="30"/>
    </row>
    <row r="868" spans="13:13" ht="12.75" customHeight="1">
      <c r="M868" s="30"/>
    </row>
    <row r="869" spans="13:13" ht="12.75" customHeight="1">
      <c r="M869" s="30"/>
    </row>
    <row r="870" spans="13:13" ht="12.75" customHeight="1">
      <c r="M870" s="30"/>
    </row>
    <row r="871" spans="13:13" ht="12.75" customHeight="1">
      <c r="M871" s="30"/>
    </row>
    <row r="872" spans="13:13" ht="12.75" customHeight="1">
      <c r="M872" s="30"/>
    </row>
    <row r="873" spans="13:13" ht="12.75" customHeight="1">
      <c r="M873" s="30"/>
    </row>
    <row r="874" spans="13:13" ht="12.75" customHeight="1">
      <c r="M874" s="30"/>
    </row>
    <row r="875" spans="13:13" ht="12.75" customHeight="1">
      <c r="M875" s="30"/>
    </row>
    <row r="876" spans="13:13" ht="12.75" customHeight="1">
      <c r="M876" s="30"/>
    </row>
    <row r="877" spans="13:13" ht="12.75" customHeight="1">
      <c r="M877" s="30"/>
    </row>
    <row r="878" spans="13:13" ht="12.75" customHeight="1">
      <c r="M878" s="30"/>
    </row>
    <row r="879" spans="13:13" ht="12.75" customHeight="1">
      <c r="M879" s="30"/>
    </row>
    <row r="880" spans="13:13" ht="12.75" customHeight="1">
      <c r="M880" s="30"/>
    </row>
    <row r="881" spans="13:13" ht="12.75" customHeight="1">
      <c r="M881" s="30"/>
    </row>
    <row r="882" spans="13:13" ht="12.75" customHeight="1">
      <c r="M882" s="30"/>
    </row>
    <row r="883" spans="13:13" ht="12.75" customHeight="1">
      <c r="M883" s="30"/>
    </row>
    <row r="884" spans="13:13" ht="12.75" customHeight="1">
      <c r="M884" s="30"/>
    </row>
    <row r="885" spans="13:13" ht="12.75" customHeight="1">
      <c r="M885" s="30"/>
    </row>
    <row r="886" spans="13:13" ht="12.75" customHeight="1">
      <c r="M886" s="30"/>
    </row>
    <row r="887" spans="13:13" ht="12.75" customHeight="1">
      <c r="M887" s="30"/>
    </row>
    <row r="888" spans="13:13" ht="12.75" customHeight="1">
      <c r="M888" s="30"/>
    </row>
    <row r="889" spans="13:13" ht="12.75" customHeight="1">
      <c r="M889" s="30"/>
    </row>
    <row r="890" spans="13:13" ht="12.75" customHeight="1">
      <c r="M890" s="30"/>
    </row>
    <row r="891" spans="13:13" ht="12.75" customHeight="1">
      <c r="M891" s="30"/>
    </row>
    <row r="892" spans="13:13" ht="12.75" customHeight="1">
      <c r="M892" s="30"/>
    </row>
    <row r="893" spans="13:13" ht="12.75" customHeight="1">
      <c r="M893" s="30"/>
    </row>
    <row r="894" spans="13:13" ht="12.75" customHeight="1">
      <c r="M894" s="30"/>
    </row>
    <row r="895" spans="13:13" ht="12.75" customHeight="1">
      <c r="M895" s="30"/>
    </row>
    <row r="896" spans="13:13" ht="12.75" customHeight="1">
      <c r="M896" s="30"/>
    </row>
    <row r="897" spans="13:13" ht="12.75" customHeight="1">
      <c r="M897" s="30"/>
    </row>
    <row r="898" spans="13:13" ht="12.75" customHeight="1">
      <c r="M898" s="30"/>
    </row>
    <row r="899" spans="13:13" ht="12.75" customHeight="1">
      <c r="M899" s="30"/>
    </row>
    <row r="900" spans="13:13" ht="12.75" customHeight="1">
      <c r="M900" s="30"/>
    </row>
    <row r="901" spans="13:13" ht="12.75" customHeight="1">
      <c r="M901" s="30"/>
    </row>
    <row r="902" spans="13:13" ht="12.75" customHeight="1">
      <c r="M902" s="30"/>
    </row>
    <row r="903" spans="13:13" ht="12.75" customHeight="1">
      <c r="M903" s="30"/>
    </row>
    <row r="904" spans="13:13" ht="12.75" customHeight="1">
      <c r="M904" s="30"/>
    </row>
    <row r="905" spans="13:13" ht="12.75" customHeight="1">
      <c r="M905" s="30"/>
    </row>
    <row r="906" spans="13:13" ht="12.75" customHeight="1">
      <c r="M906" s="30"/>
    </row>
    <row r="907" spans="13:13" ht="12.75" customHeight="1">
      <c r="M907" s="30"/>
    </row>
    <row r="908" spans="13:13" ht="12.75" customHeight="1">
      <c r="M908" s="30"/>
    </row>
    <row r="909" spans="13:13" ht="12.75" customHeight="1">
      <c r="M909" s="30"/>
    </row>
    <row r="910" spans="13:13" ht="12.75" customHeight="1">
      <c r="M910" s="30"/>
    </row>
    <row r="911" spans="13:13" ht="12.75" customHeight="1">
      <c r="M911" s="30"/>
    </row>
    <row r="912" spans="13:13" ht="12.75" customHeight="1">
      <c r="M912" s="30"/>
    </row>
    <row r="913" spans="13:13" ht="12.75" customHeight="1">
      <c r="M913" s="30"/>
    </row>
    <row r="914" spans="13:13" ht="12.75" customHeight="1">
      <c r="M914" s="30"/>
    </row>
    <row r="915" spans="13:13" ht="12.75" customHeight="1">
      <c r="M915" s="30"/>
    </row>
    <row r="916" spans="13:13" ht="12.75" customHeight="1">
      <c r="M916" s="30"/>
    </row>
    <row r="917" spans="13:13" ht="12.75" customHeight="1">
      <c r="M917" s="30"/>
    </row>
    <row r="918" spans="13:13" ht="12.75" customHeight="1">
      <c r="M918" s="30"/>
    </row>
    <row r="919" spans="13:13" ht="12.75" customHeight="1">
      <c r="M919" s="30"/>
    </row>
    <row r="920" spans="13:13" ht="12.75" customHeight="1">
      <c r="M920" s="30"/>
    </row>
    <row r="921" spans="13:13" ht="12.75" customHeight="1">
      <c r="M921" s="30"/>
    </row>
    <row r="922" spans="13:13" ht="12.75" customHeight="1">
      <c r="M922" s="30"/>
    </row>
    <row r="923" spans="13:13" ht="12.75" customHeight="1">
      <c r="M923" s="30"/>
    </row>
    <row r="924" spans="13:13" ht="12.75" customHeight="1">
      <c r="M924" s="30"/>
    </row>
    <row r="925" spans="13:13" ht="12.75" customHeight="1">
      <c r="M925" s="30"/>
    </row>
    <row r="926" spans="13:13" ht="12.75" customHeight="1">
      <c r="M926" s="30"/>
    </row>
    <row r="927" spans="13:13" ht="12.75" customHeight="1">
      <c r="M927" s="30"/>
    </row>
    <row r="928" spans="13:13" ht="12.75" customHeight="1">
      <c r="M928" s="30"/>
    </row>
    <row r="929" spans="13:13" ht="12.75" customHeight="1">
      <c r="M929" s="30"/>
    </row>
    <row r="930" spans="13:13" ht="12.75" customHeight="1">
      <c r="M930" s="30"/>
    </row>
    <row r="931" spans="13:13" ht="12.75" customHeight="1">
      <c r="M931" s="30"/>
    </row>
    <row r="932" spans="13:13" ht="12.75" customHeight="1">
      <c r="M932" s="30"/>
    </row>
    <row r="933" spans="13:13" ht="12.75" customHeight="1">
      <c r="M933" s="30"/>
    </row>
    <row r="934" spans="13:13" ht="12.75" customHeight="1">
      <c r="M934" s="30"/>
    </row>
    <row r="935" spans="13:13" ht="12.75" customHeight="1">
      <c r="M935" s="30"/>
    </row>
    <row r="936" spans="13:13" ht="12.75" customHeight="1">
      <c r="M936" s="30"/>
    </row>
    <row r="937" spans="13:13" ht="12.75" customHeight="1">
      <c r="M937" s="30"/>
    </row>
    <row r="938" spans="13:13" ht="12.75" customHeight="1">
      <c r="M938" s="30"/>
    </row>
    <row r="939" spans="13:13" ht="12.75" customHeight="1">
      <c r="M939" s="30"/>
    </row>
    <row r="940" spans="13:13" ht="12.75" customHeight="1">
      <c r="M940" s="30"/>
    </row>
    <row r="941" spans="13:13" ht="12.75" customHeight="1">
      <c r="M941" s="30"/>
    </row>
    <row r="942" spans="13:13" ht="12.75" customHeight="1">
      <c r="M942" s="30"/>
    </row>
    <row r="943" spans="13:13" ht="12.75" customHeight="1">
      <c r="M943" s="30"/>
    </row>
    <row r="944" spans="13:13" ht="12.75" customHeight="1">
      <c r="M944" s="30"/>
    </row>
    <row r="945" spans="13:13" ht="12.75" customHeight="1">
      <c r="M945" s="30"/>
    </row>
    <row r="946" spans="13:13" ht="12.75" customHeight="1">
      <c r="M946" s="30"/>
    </row>
    <row r="947" spans="13:13" ht="12.75" customHeight="1">
      <c r="M947" s="30"/>
    </row>
    <row r="948" spans="13:13" ht="12.75" customHeight="1">
      <c r="M948" s="30"/>
    </row>
    <row r="949" spans="13:13" ht="12.75" customHeight="1">
      <c r="M949" s="30"/>
    </row>
    <row r="950" spans="13:13" ht="12.75" customHeight="1">
      <c r="M950" s="30"/>
    </row>
    <row r="951" spans="13:13" ht="12.75" customHeight="1">
      <c r="M951" s="30"/>
    </row>
    <row r="952" spans="13:13" ht="12.75" customHeight="1">
      <c r="M952" s="30"/>
    </row>
    <row r="953" spans="13:13" ht="12.75" customHeight="1">
      <c r="M953" s="30"/>
    </row>
    <row r="954" spans="13:13" ht="12.75" customHeight="1">
      <c r="M954" s="30"/>
    </row>
    <row r="955" spans="13:13" ht="12.75" customHeight="1">
      <c r="M955" s="30"/>
    </row>
    <row r="956" spans="13:13" ht="12.75" customHeight="1">
      <c r="M956" s="30"/>
    </row>
    <row r="957" spans="13:13" ht="12.75" customHeight="1">
      <c r="M957" s="30"/>
    </row>
    <row r="958" spans="13:13" ht="12.75" customHeight="1">
      <c r="M958" s="30"/>
    </row>
    <row r="959" spans="13:13" ht="12.75" customHeight="1">
      <c r="M959" s="30"/>
    </row>
    <row r="960" spans="13:13" ht="12.75" customHeight="1">
      <c r="M960" s="30"/>
    </row>
    <row r="961" spans="13:13" ht="12.75" customHeight="1">
      <c r="M961" s="30"/>
    </row>
    <row r="962" spans="13:13" ht="12.75" customHeight="1">
      <c r="M962" s="30"/>
    </row>
    <row r="963" spans="13:13" ht="12.75" customHeight="1">
      <c r="M963" s="30"/>
    </row>
    <row r="964" spans="13:13" ht="12.75" customHeight="1">
      <c r="M964" s="30"/>
    </row>
    <row r="965" spans="13:13" ht="12.75" customHeight="1">
      <c r="M965" s="30"/>
    </row>
    <row r="966" spans="13:13" ht="12.75" customHeight="1">
      <c r="M966" s="30"/>
    </row>
    <row r="967" spans="13:13" ht="12.75" customHeight="1">
      <c r="M967" s="30"/>
    </row>
    <row r="968" spans="13:13" ht="12.75" customHeight="1">
      <c r="M968" s="30"/>
    </row>
    <row r="969" spans="13:13" ht="12.75" customHeight="1">
      <c r="M969" s="30"/>
    </row>
    <row r="970" spans="13:13" ht="12.75" customHeight="1">
      <c r="M970" s="30"/>
    </row>
    <row r="971" spans="13:13" ht="12.75" customHeight="1">
      <c r="M971" s="30"/>
    </row>
    <row r="972" spans="13:13" ht="12.75" customHeight="1">
      <c r="M972" s="30"/>
    </row>
    <row r="973" spans="13:13" ht="12.75" customHeight="1">
      <c r="M973" s="30"/>
    </row>
    <row r="974" spans="13:13" ht="12.75" customHeight="1">
      <c r="M974" s="30"/>
    </row>
    <row r="975" spans="13:13" ht="12.75" customHeight="1">
      <c r="M975" s="30"/>
    </row>
    <row r="976" spans="13:13" ht="12.75" customHeight="1">
      <c r="M976" s="30"/>
    </row>
    <row r="977" spans="13:13" ht="12.75" customHeight="1">
      <c r="M977" s="30"/>
    </row>
    <row r="978" spans="13:13" ht="12.75" customHeight="1">
      <c r="M978" s="30"/>
    </row>
    <row r="979" spans="13:13" ht="12.75" customHeight="1">
      <c r="M979" s="30"/>
    </row>
    <row r="980" spans="13:13" ht="12.75" customHeight="1">
      <c r="M980" s="30"/>
    </row>
    <row r="981" spans="13:13" ht="12.75" customHeight="1">
      <c r="M981" s="30"/>
    </row>
    <row r="982" spans="13:13" ht="12.75" customHeight="1">
      <c r="M982" s="30"/>
    </row>
    <row r="983" spans="13:13" ht="12.75" customHeight="1">
      <c r="M983" s="30"/>
    </row>
    <row r="984" spans="13:13" ht="12.75" customHeight="1">
      <c r="M984" s="30"/>
    </row>
    <row r="985" spans="13:13" ht="12.75" customHeight="1">
      <c r="M985" s="30"/>
    </row>
    <row r="986" spans="13:13" ht="12.75" customHeight="1">
      <c r="M986" s="30"/>
    </row>
    <row r="987" spans="13:13" ht="12.75" customHeight="1">
      <c r="M987" s="30"/>
    </row>
    <row r="988" spans="13:13" ht="12.75" customHeight="1">
      <c r="M988" s="30"/>
    </row>
    <row r="989" spans="13:13" ht="12.75" customHeight="1">
      <c r="M989" s="30"/>
    </row>
    <row r="990" spans="13:13" ht="12.75" customHeight="1">
      <c r="M990" s="30"/>
    </row>
    <row r="991" spans="13:13" ht="12.75" customHeight="1">
      <c r="M991" s="30"/>
    </row>
    <row r="992" spans="13:13" ht="12.75" customHeight="1">
      <c r="M992" s="30"/>
    </row>
    <row r="993" spans="13:13" ht="12.75" customHeight="1">
      <c r="M993" s="30"/>
    </row>
    <row r="994" spans="13:13" ht="12.75" customHeight="1">
      <c r="M994" s="30"/>
    </row>
    <row r="995" spans="13:13" ht="12.75" customHeight="1">
      <c r="M995" s="30"/>
    </row>
    <row r="996" spans="13:13" ht="12.75" customHeight="1">
      <c r="M996" s="30"/>
    </row>
    <row r="997" spans="13:13" ht="12.75" customHeight="1">
      <c r="M997" s="30"/>
    </row>
    <row r="998" spans="13:13" ht="12.75" customHeight="1">
      <c r="M998" s="30"/>
    </row>
    <row r="999" spans="13:13" ht="12.75" customHeight="1">
      <c r="M999" s="30"/>
    </row>
    <row r="1000" spans="13:13" ht="12.75" customHeight="1">
      <c r="M1000" s="30"/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9</vt:i4>
      </vt:variant>
    </vt:vector>
  </HeadingPairs>
  <TitlesOfParts>
    <vt:vector size="9" baseType="lpstr">
      <vt:lpstr>портфели</vt:lpstr>
      <vt:lpstr>list1</vt:lpstr>
      <vt:lpstr>Results</vt:lpstr>
      <vt:lpstr>Print</vt:lpstr>
      <vt:lpstr>Лист1</vt:lpstr>
      <vt:lpstr>Close</vt:lpstr>
      <vt:lpstr>Rates</vt:lpstr>
      <vt:lpstr>Markowiz</vt:lpstr>
      <vt:lpstr>portfolioPrice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Doynikov</dc:creator>
  <cp:lastModifiedBy>Александр Дойников</cp:lastModifiedBy>
  <dcterms:created xsi:type="dcterms:W3CDTF">2018-12-05T19:50:26Z</dcterms:created>
  <dcterms:modified xsi:type="dcterms:W3CDTF">2023-11-24T10:55:30Z</dcterms:modified>
</cp:coreProperties>
</file>